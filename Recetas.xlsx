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a\Documents\"/>
    </mc:Choice>
  </mc:AlternateContent>
  <xr:revisionPtr revIDLastSave="0" documentId="8_{CE737E88-8655-4139-8F07-A75BBE4F6AD0}" xr6:coauthVersionLast="47" xr6:coauthVersionMax="47" xr10:uidLastSave="{00000000-0000-0000-0000-000000000000}"/>
  <bookViews>
    <workbookView xWindow="-98" yWindow="-98" windowWidth="19396" windowHeight="11475" xr2:uid="{A39DBBA9-1465-4CCD-9EA5-1399EAEAB9DA}"/>
  </bookViews>
  <sheets>
    <sheet name="Galletas" sheetId="1" r:id="rId1"/>
    <sheet name="Bizcocho_limon" sheetId="3" r:id="rId2"/>
    <sheet name="Tiramisú" sheetId="4" r:id="rId3"/>
    <sheet name="Tiramisú_vaso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5" l="1"/>
  <c r="D53" i="5"/>
  <c r="O52" i="5"/>
  <c r="D57" i="5"/>
  <c r="H3" i="5" a="1"/>
  <c r="D59" i="5"/>
  <c r="D54" i="5"/>
  <c r="F3" i="4"/>
  <c r="P9" i="4"/>
  <c r="F9" i="4"/>
  <c r="H9" i="4"/>
  <c r="O9" i="4"/>
  <c r="L9" i="4"/>
  <c r="N9" i="4"/>
  <c r="G9" i="4"/>
  <c r="K9" i="4"/>
  <c r="M9" i="4"/>
  <c r="I3" i="4"/>
  <c r="K6" i="4"/>
  <c r="G6" i="4"/>
  <c r="H6" i="4"/>
  <c r="L6" i="4"/>
  <c r="I6" i="4"/>
  <c r="H3" i="4"/>
  <c r="I6" i="5"/>
  <c r="C52" i="5"/>
  <c r="E52" i="5"/>
  <c r="G52" i="5"/>
  <c r="H52" i="5"/>
  <c r="I52" i="5"/>
  <c r="J52" i="5"/>
  <c r="K52" i="5"/>
  <c r="L52" i="5"/>
  <c r="M52" i="5"/>
  <c r="N52" i="5"/>
  <c r="C53" i="5"/>
  <c r="C59" i="5"/>
  <c r="J6" i="5"/>
  <c r="K6" i="5"/>
  <c r="E57" i="5"/>
  <c r="G57" i="5"/>
  <c r="H57" i="5"/>
  <c r="I57" i="5"/>
  <c r="J57" i="5"/>
  <c r="K57" i="5"/>
  <c r="L57" i="5"/>
  <c r="M57" i="5"/>
  <c r="N57" i="5"/>
  <c r="E59" i="5"/>
  <c r="G59" i="5"/>
  <c r="H59" i="5"/>
  <c r="I59" i="5"/>
  <c r="J59" i="5"/>
  <c r="K59" i="5"/>
  <c r="L59" i="5"/>
  <c r="M59" i="5"/>
  <c r="N59" i="5"/>
  <c r="E53" i="5"/>
  <c r="G53" i="5"/>
  <c r="H53" i="5"/>
  <c r="I53" i="5"/>
  <c r="J53" i="5"/>
  <c r="K53" i="5"/>
  <c r="L53" i="5"/>
  <c r="M53" i="5"/>
  <c r="N53" i="5"/>
  <c r="C54" i="5"/>
  <c r="E54" i="5"/>
  <c r="G54" i="5"/>
  <c r="H54" i="5"/>
  <c r="I54" i="5"/>
  <c r="J54" i="5"/>
  <c r="K54" i="5"/>
  <c r="L54" i="5"/>
  <c r="M54" i="5"/>
  <c r="N54" i="5"/>
  <c r="M36" i="4"/>
  <c r="M41" i="4"/>
  <c r="M43" i="4"/>
  <c r="L36" i="4"/>
  <c r="L41" i="4"/>
  <c r="L43" i="4"/>
  <c r="K36" i="4"/>
  <c r="K41" i="4"/>
  <c r="K43" i="4"/>
  <c r="J36" i="4"/>
  <c r="J41" i="4"/>
  <c r="J43" i="4"/>
  <c r="I36" i="4"/>
  <c r="I41" i="4"/>
  <c r="I43" i="4"/>
  <c r="H36" i="4"/>
  <c r="H41" i="4"/>
  <c r="H43" i="4"/>
  <c r="G36" i="4"/>
  <c r="G41" i="4"/>
  <c r="G43" i="4"/>
  <c r="F36" i="4"/>
  <c r="F41" i="4"/>
  <c r="F43" i="4"/>
  <c r="E36" i="4"/>
  <c r="E41" i="4"/>
  <c r="E43" i="4"/>
  <c r="D36" i="4"/>
  <c r="D41" i="4"/>
  <c r="D43" i="4"/>
  <c r="C43" i="4"/>
  <c r="M37" i="4"/>
  <c r="M38" i="4"/>
  <c r="L37" i="4"/>
  <c r="L38" i="4"/>
  <c r="K37" i="4"/>
  <c r="K38" i="4"/>
  <c r="J37" i="4"/>
  <c r="J38" i="4"/>
  <c r="I37" i="4"/>
  <c r="I38" i="4"/>
  <c r="H37" i="4"/>
  <c r="H38" i="4"/>
  <c r="G37" i="4"/>
  <c r="G38" i="4"/>
  <c r="F37" i="4"/>
  <c r="F38" i="4"/>
  <c r="E37" i="4"/>
  <c r="E38" i="4"/>
  <c r="D37" i="4"/>
  <c r="D38" i="4"/>
  <c r="C36" i="4"/>
  <c r="C37" i="4"/>
  <c r="C38" i="4"/>
  <c r="D39" i="1"/>
  <c r="D40" i="1"/>
  <c r="E39" i="1"/>
  <c r="F39" i="1"/>
  <c r="G39" i="1"/>
  <c r="H39" i="1"/>
  <c r="H44" i="1"/>
  <c r="H40" i="1"/>
  <c r="I39" i="1"/>
  <c r="I44" i="1"/>
  <c r="I40" i="1"/>
  <c r="J39" i="1"/>
  <c r="K39" i="1"/>
  <c r="K44" i="1"/>
  <c r="K40" i="1"/>
  <c r="L39" i="1"/>
  <c r="M39" i="1"/>
  <c r="C39" i="1"/>
  <c r="C40" i="1"/>
  <c r="F3" i="1"/>
  <c r="D44" i="1"/>
  <c r="G44" i="1"/>
  <c r="G40" i="1"/>
  <c r="G46" i="1"/>
  <c r="G41" i="1"/>
  <c r="H46" i="1"/>
  <c r="H41" i="1"/>
  <c r="I46" i="1"/>
  <c r="I41" i="1"/>
  <c r="K46" i="1"/>
  <c r="K41" i="1"/>
  <c r="E44" i="1"/>
  <c r="E46" i="1"/>
  <c r="E40" i="1"/>
  <c r="J44" i="1"/>
  <c r="J46" i="1"/>
  <c r="J40" i="1"/>
  <c r="L44" i="1"/>
  <c r="L46" i="1"/>
  <c r="L40" i="1"/>
  <c r="L41" i="1"/>
  <c r="M44" i="1"/>
  <c r="M46" i="1"/>
  <c r="M40" i="1"/>
  <c r="D46" i="1"/>
  <c r="D41" i="1"/>
  <c r="G6" i="1"/>
  <c r="I6" i="1"/>
  <c r="C46" i="1"/>
  <c r="C41" i="1"/>
  <c r="F40" i="1"/>
  <c r="F44" i="1"/>
  <c r="F46" i="1"/>
  <c r="F41" i="1"/>
  <c r="J41" i="1"/>
  <c r="M41" i="1"/>
  <c r="E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<sst xmlns="http://schemas.openxmlformats.org/spreadsheetml/2006/main" count="227" uniqueCount="83">
  <si>
    <t>Ingredientes</t>
  </si>
  <si>
    <t>Precio/Unidad</t>
  </si>
  <si>
    <t>Azúcar glass</t>
  </si>
  <si>
    <t>Huevos</t>
  </si>
  <si>
    <t>Peso/Unidades</t>
  </si>
  <si>
    <t>Harina de repostería</t>
  </si>
  <si>
    <t>Mantequilla</t>
  </si>
  <si>
    <t>Esencia vainilla</t>
  </si>
  <si>
    <t>Pizca sal</t>
  </si>
  <si>
    <t>Total</t>
  </si>
  <si>
    <t>Peso masa/Kg</t>
  </si>
  <si>
    <t>Compradores</t>
  </si>
  <si>
    <t>Fabiola</t>
  </si>
  <si>
    <t>Rafael</t>
  </si>
  <si>
    <t>Ruben</t>
  </si>
  <si>
    <t>Lumusa</t>
  </si>
  <si>
    <t>Rodrigo</t>
  </si>
  <si>
    <t>Sophia</t>
  </si>
  <si>
    <t>Leandro</t>
  </si>
  <si>
    <t>Muhamed</t>
  </si>
  <si>
    <t>Paula</t>
  </si>
  <si>
    <t>Emilio</t>
  </si>
  <si>
    <t>Raul</t>
  </si>
  <si>
    <t>Jesus</t>
  </si>
  <si>
    <t>Carlos</t>
  </si>
  <si>
    <t>Gabri</t>
  </si>
  <si>
    <t>Aday</t>
  </si>
  <si>
    <t>Hector G.</t>
  </si>
  <si>
    <t>Andres (Andy)</t>
  </si>
  <si>
    <t>Javier</t>
  </si>
  <si>
    <t>Cobrado</t>
  </si>
  <si>
    <t>Beneficio</t>
  </si>
  <si>
    <t>Peso masa</t>
  </si>
  <si>
    <t>Azúcar</t>
  </si>
  <si>
    <t>Limon</t>
  </si>
  <si>
    <t>Mascarpone</t>
  </si>
  <si>
    <t>Bizcochos</t>
  </si>
  <si>
    <t>Café</t>
  </si>
  <si>
    <t xml:space="preserve">Personas </t>
  </si>
  <si>
    <t>Precio/Persona</t>
  </si>
  <si>
    <t xml:space="preserve">Azucar </t>
  </si>
  <si>
    <t xml:space="preserve">Bizcochos </t>
  </si>
  <si>
    <t>Cafe</t>
  </si>
  <si>
    <t>Vasos</t>
  </si>
  <si>
    <t>Unidades</t>
  </si>
  <si>
    <t>Pablo</t>
  </si>
  <si>
    <t>Zelaxel</t>
  </si>
  <si>
    <t>Lucia</t>
  </si>
  <si>
    <t>Ivan</t>
  </si>
  <si>
    <t>Gabri? Externas?</t>
  </si>
  <si>
    <t>Harrinson</t>
  </si>
  <si>
    <t>Jero</t>
  </si>
  <si>
    <t>Ale? Pipo</t>
  </si>
  <si>
    <t>Carmelo?</t>
  </si>
  <si>
    <t>David Suarez</t>
  </si>
  <si>
    <t xml:space="preserve">Tarrinas </t>
  </si>
  <si>
    <t>Tarrinas</t>
  </si>
  <si>
    <t>Precio</t>
  </si>
  <si>
    <t>Total Pagado</t>
  </si>
  <si>
    <t>Precio/Kg</t>
  </si>
  <si>
    <t>Tarrina 400g</t>
  </si>
  <si>
    <t>Vaso 200g</t>
  </si>
  <si>
    <t>Precio T.</t>
  </si>
  <si>
    <t>Precio V.</t>
  </si>
  <si>
    <t>Beneficio T.</t>
  </si>
  <si>
    <t>Beneficio V.</t>
  </si>
  <si>
    <t>Kilo 100%</t>
  </si>
  <si>
    <t>T. 2,5</t>
  </si>
  <si>
    <t>V. 12</t>
  </si>
  <si>
    <t>Jan</t>
  </si>
  <si>
    <t xml:space="preserve">Juan Jesús </t>
  </si>
  <si>
    <t>Ronin</t>
  </si>
  <si>
    <t>Lumusa 2</t>
  </si>
  <si>
    <t>Pagado</t>
  </si>
  <si>
    <t>esta pagado el segundo de paula</t>
  </si>
  <si>
    <t>David Secretario</t>
  </si>
  <si>
    <t>David Secretario 2</t>
  </si>
  <si>
    <t>Juan Jesús</t>
  </si>
  <si>
    <t>Javier 2</t>
  </si>
  <si>
    <t>Javier 3</t>
  </si>
  <si>
    <t>Ale</t>
  </si>
  <si>
    <t>Alba</t>
  </si>
  <si>
    <t>Sean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</si>
</sst>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[$€-C0A]"/>
    <numFmt numFmtId="165" formatCode="_-* #,##0.00\ [$€-C0A]_-;\-* #,##0.00\ [$€-C0A]_-;_-* &quot;-&quot;??\ [$€-C0A]_-;_-@_-"/>
    <numFmt numFmtId="166" formatCode="_-* #,##0.00\ _€_-;\-* #,##0.00\ _€_-;_-* &quot;-&quot;??\ _€_-;_-@_-"/>
    <numFmt numFmtId="167" formatCode="0.000"/>
    <numFmt numFmtId="168" formatCode="_-* #,##0.00\ &quot;€&quot;_-;\-* #,##0.00\ &quot;€&quot;_-;_-* &quot;-&quot;???\ &quot;€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</font>
    <font>
      <sz val="11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44" fontId="2" fillId="0" borderId="2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44" fontId="4" fillId="0" borderId="2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7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5" fontId="2" fillId="6" borderId="2" xfId="1" applyNumberFormat="1" applyFont="1" applyFill="1" applyBorder="1" applyAlignment="1">
      <alignment horizontal="center" vertical="center"/>
    </xf>
    <xf numFmtId="165" fontId="2" fillId="7" borderId="2" xfId="1" applyNumberFormat="1" applyFont="1" applyFill="1" applyBorder="1" applyAlignment="1">
      <alignment horizontal="center" vertical="center"/>
    </xf>
    <xf numFmtId="165" fontId="4" fillId="6" borderId="2" xfId="1" applyNumberFormat="1" applyFont="1" applyFill="1" applyBorder="1" applyAlignment="1">
      <alignment horizontal="center" vertical="center"/>
    </xf>
    <xf numFmtId="165" fontId="4" fillId="7" borderId="2" xfId="1" applyNumberFormat="1" applyFont="1" applyFill="1" applyBorder="1" applyAlignment="1">
      <alignment horizontal="center" vertical="center"/>
    </xf>
    <xf numFmtId="43" fontId="4" fillId="6" borderId="2" xfId="0" applyNumberFormat="1" applyFont="1" applyFill="1" applyBorder="1" applyAlignment="1">
      <alignment horizontal="center" vertical="center"/>
    </xf>
    <xf numFmtId="166" fontId="4" fillId="7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2" fillId="0" borderId="3" xfId="1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44" fontId="4" fillId="8" borderId="1" xfId="0" applyNumberFormat="1" applyFont="1" applyFill="1" applyBorder="1" applyAlignment="1">
      <alignment horizontal="center" vertical="center"/>
    </xf>
    <xf numFmtId="44" fontId="4" fillId="9" borderId="1" xfId="0" applyNumberFormat="1" applyFont="1" applyFill="1" applyBorder="1" applyAlignment="1">
      <alignment horizontal="center" vertical="center"/>
    </xf>
    <xf numFmtId="44" fontId="4" fillId="9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0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C761B-F361-427D-B461-639490BD64EF}">
  <dimension ref="B2:M46"/>
  <sheetViews>
    <sheetView tabSelected="1" zoomScaleNormal="100" workbookViewId="0">
      <selection activeCell="F29" sqref="F29"/>
    </sheetView>
  </sheetViews>
  <sheetFormatPr baseColWidth="10" defaultColWidth="11.3984375" defaultRowHeight="14.25" x14ac:dyDescent="0.45"/>
  <cols>
    <col min="1" max="1" width="4.33203125" style="4" customWidth="1"/>
    <col min="2" max="2" width="21.3984375" style="4" customWidth="1"/>
    <col min="3" max="3" width="17.06640625" style="4" customWidth="1"/>
    <col min="4" max="4" width="15.33203125" style="4" customWidth="1"/>
    <col min="5" max="5" width="10.59765625" style="4" customWidth="1"/>
    <col min="6" max="6" width="14.53125" style="4" customWidth="1"/>
    <col min="7" max="7" width="17.33203125" style="4" customWidth="1"/>
    <col min="8" max="8" width="11.3984375" style="4"/>
    <col min="9" max="9" width="15.33203125" style="4" customWidth="1"/>
    <col min="10" max="16384" width="11.3984375" style="4"/>
  </cols>
  <sheetData>
    <row r="2" spans="2:13" x14ac:dyDescent="0.45">
      <c r="B2" s="1" t="s">
        <v>0</v>
      </c>
      <c r="C2" s="1" t="s">
        <v>4</v>
      </c>
      <c r="D2" s="1" t="s">
        <v>1</v>
      </c>
      <c r="F2" s="1" t="s">
        <v>9</v>
      </c>
      <c r="G2" s="1" t="s">
        <v>10</v>
      </c>
    </row>
    <row r="3" spans="2:13" x14ac:dyDescent="0.45">
      <c r="B3" s="2" t="s">
        <v>2</v>
      </c>
      <c r="C3" s="2">
        <v>175</v>
      </c>
      <c r="D3" s="3">
        <v>1.01</v>
      </c>
      <c r="F3" s="5">
        <f>SUM(D3:D6)</f>
        <v>4.09</v>
      </c>
      <c r="G3" s="2">
        <v>1</v>
      </c>
    </row>
    <row r="4" spans="2:13" x14ac:dyDescent="0.45">
      <c r="B4" s="2" t="s">
        <v>3</v>
      </c>
      <c r="C4" s="2">
        <v>1</v>
      </c>
      <c r="D4" s="3">
        <v>0.3</v>
      </c>
    </row>
    <row r="5" spans="2:13" x14ac:dyDescent="0.45">
      <c r="B5" s="2" t="s">
        <v>5</v>
      </c>
      <c r="C5" s="2">
        <v>500</v>
      </c>
      <c r="D5" s="3">
        <v>0.53</v>
      </c>
      <c r="F5" s="1" t="s">
        <v>10</v>
      </c>
      <c r="G5" s="1" t="s">
        <v>9</v>
      </c>
      <c r="H5" s="13" t="s">
        <v>38</v>
      </c>
      <c r="I5" s="13" t="s">
        <v>39</v>
      </c>
    </row>
    <row r="6" spans="2:13" x14ac:dyDescent="0.45">
      <c r="B6" s="2" t="s">
        <v>6</v>
      </c>
      <c r="C6" s="2">
        <v>250</v>
      </c>
      <c r="D6" s="3">
        <v>2.25</v>
      </c>
      <c r="F6" s="2">
        <v>7</v>
      </c>
      <c r="G6" s="3">
        <f>F6*F3</f>
        <v>28.63</v>
      </c>
      <c r="H6" s="12">
        <v>35</v>
      </c>
      <c r="I6" s="14">
        <f>G6/H6</f>
        <v>0.81799999999999995</v>
      </c>
    </row>
    <row r="7" spans="2:13" x14ac:dyDescent="0.45">
      <c r="B7" s="2"/>
      <c r="C7" s="2"/>
      <c r="D7" s="2"/>
    </row>
    <row r="8" spans="2:13" x14ac:dyDescent="0.45">
      <c r="B8" s="2" t="s">
        <v>7</v>
      </c>
      <c r="C8" s="2">
        <v>5</v>
      </c>
      <c r="D8" s="2"/>
    </row>
    <row r="9" spans="2:13" x14ac:dyDescent="0.45">
      <c r="B9" s="2" t="s">
        <v>8</v>
      </c>
      <c r="C9" s="2">
        <v>1</v>
      </c>
      <c r="D9" s="2"/>
    </row>
    <row r="11" spans="2:13" x14ac:dyDescent="0.45">
      <c r="B11" s="1" t="s">
        <v>11</v>
      </c>
      <c r="C11" s="8" t="b">
        <v>1</v>
      </c>
      <c r="D11" s="8" t="b">
        <v>1</v>
      </c>
      <c r="E11" s="8" t="b">
        <v>1</v>
      </c>
      <c r="F11" s="8" t="b">
        <v>1</v>
      </c>
      <c r="G11" s="8" t="b">
        <v>1</v>
      </c>
      <c r="H11" s="8" t="b">
        <v>1</v>
      </c>
      <c r="I11" s="8" t="b">
        <v>1</v>
      </c>
      <c r="J11" s="8" t="b">
        <v>1</v>
      </c>
      <c r="K11" s="8" t="b">
        <v>1</v>
      </c>
      <c r="L11" s="8" t="b">
        <v>1</v>
      </c>
      <c r="M11" s="8" t="b">
        <v>1</v>
      </c>
    </row>
    <row r="12" spans="2:13" x14ac:dyDescent="0.45">
      <c r="B12" s="2" t="s">
        <v>12</v>
      </c>
      <c r="C12" s="7" t="b">
        <v>0</v>
      </c>
      <c r="D12" s="7" t="b">
        <v>0</v>
      </c>
      <c r="E12" s="7" t="b">
        <v>0</v>
      </c>
      <c r="F12" s="7" t="b">
        <v>0</v>
      </c>
      <c r="G12" s="7" t="b">
        <v>0</v>
      </c>
      <c r="H12" s="7" t="b">
        <v>0</v>
      </c>
      <c r="I12" s="7" t="b">
        <v>0</v>
      </c>
      <c r="J12" s="7" t="b">
        <v>0</v>
      </c>
      <c r="K12" s="7" t="b">
        <v>0</v>
      </c>
      <c r="L12" s="7" t="b">
        <v>0</v>
      </c>
      <c r="M12" s="7" t="b">
        <v>0</v>
      </c>
    </row>
    <row r="13" spans="2:13" x14ac:dyDescent="0.45">
      <c r="B13" s="2" t="s">
        <v>13</v>
      </c>
      <c r="C13" s="7" t="b">
        <v>1</v>
      </c>
      <c r="D13" s="7" t="b">
        <v>1</v>
      </c>
      <c r="E13" s="7" t="b">
        <v>0</v>
      </c>
      <c r="F13" s="7" t="b">
        <v>1</v>
      </c>
      <c r="G13" s="7" t="b">
        <v>0</v>
      </c>
      <c r="H13" s="7" t="b">
        <v>0</v>
      </c>
      <c r="I13" s="7" t="b">
        <v>0</v>
      </c>
      <c r="J13" s="7" t="b">
        <v>0</v>
      </c>
      <c r="K13" s="7" t="b">
        <v>0</v>
      </c>
      <c r="L13" s="7" t="b">
        <v>0</v>
      </c>
      <c r="M13" s="7" t="b">
        <v>0</v>
      </c>
    </row>
    <row r="14" spans="2:13" x14ac:dyDescent="0.45">
      <c r="B14" s="2" t="s">
        <v>14</v>
      </c>
      <c r="C14" s="7" t="b">
        <v>1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7" t="b">
        <v>0</v>
      </c>
      <c r="J14" s="7" t="b">
        <v>0</v>
      </c>
      <c r="K14" s="7" t="b">
        <v>0</v>
      </c>
      <c r="L14" s="7" t="b">
        <v>0</v>
      </c>
      <c r="M14" s="7" t="b">
        <v>0</v>
      </c>
    </row>
    <row r="15" spans="2:13" x14ac:dyDescent="0.45">
      <c r="B15" s="2" t="s">
        <v>15</v>
      </c>
      <c r="C15" s="7" t="b">
        <v>0</v>
      </c>
      <c r="D15" s="7" t="b">
        <v>0</v>
      </c>
      <c r="E15" s="7" t="b">
        <v>1</v>
      </c>
      <c r="F15" s="46" t="b">
        <v>1</v>
      </c>
      <c r="G15" s="7" t="b">
        <v>0</v>
      </c>
      <c r="H15" s="7" t="b">
        <v>0</v>
      </c>
      <c r="I15" s="7" t="b">
        <v>0</v>
      </c>
      <c r="J15" s="7" t="b">
        <v>0</v>
      </c>
      <c r="K15" s="7" t="b">
        <v>0</v>
      </c>
      <c r="L15" s="7" t="b">
        <v>0</v>
      </c>
      <c r="M15" s="7" t="b">
        <v>0</v>
      </c>
    </row>
    <row r="16" spans="2:13" x14ac:dyDescent="0.45">
      <c r="B16" s="2" t="s">
        <v>16</v>
      </c>
      <c r="C16" s="7" t="b">
        <v>0</v>
      </c>
      <c r="D16" s="7" t="b">
        <v>0</v>
      </c>
      <c r="E16" s="7" t="b">
        <v>1</v>
      </c>
      <c r="F16" s="46" t="b">
        <v>1</v>
      </c>
      <c r="G16" s="7" t="b">
        <v>0</v>
      </c>
      <c r="H16" s="7" t="b">
        <v>0</v>
      </c>
      <c r="I16" s="7" t="b">
        <v>0</v>
      </c>
      <c r="J16" s="7" t="b">
        <v>0</v>
      </c>
      <c r="K16" s="7" t="b">
        <v>0</v>
      </c>
      <c r="L16" s="7" t="b">
        <v>0</v>
      </c>
      <c r="M16" s="7" t="b">
        <v>0</v>
      </c>
    </row>
    <row r="17" spans="2:13" x14ac:dyDescent="0.45">
      <c r="B17" s="2" t="s">
        <v>17</v>
      </c>
      <c r="C17" s="7" t="b">
        <v>1</v>
      </c>
      <c r="D17" s="7" t="b">
        <v>0</v>
      </c>
      <c r="E17" s="7" t="b">
        <v>0</v>
      </c>
      <c r="F17" s="7" t="b">
        <v>0</v>
      </c>
      <c r="G17" s="7" t="b">
        <v>0</v>
      </c>
      <c r="H17" s="7" t="b">
        <v>0</v>
      </c>
      <c r="I17" s="7" t="b">
        <v>0</v>
      </c>
      <c r="J17" s="7" t="b">
        <v>0</v>
      </c>
      <c r="K17" s="7" t="b">
        <v>0</v>
      </c>
      <c r="L17" s="7" t="b">
        <v>0</v>
      </c>
      <c r="M17" s="7" t="b">
        <v>0</v>
      </c>
    </row>
    <row r="18" spans="2:13" x14ac:dyDescent="0.45">
      <c r="B18" s="2" t="s">
        <v>18</v>
      </c>
      <c r="C18" s="7" t="b">
        <v>1</v>
      </c>
      <c r="D18" s="7" t="b">
        <v>0</v>
      </c>
      <c r="E18" s="7" t="b">
        <v>0</v>
      </c>
      <c r="F18" s="7" t="b">
        <v>0</v>
      </c>
      <c r="G18" s="7" t="b">
        <v>0</v>
      </c>
      <c r="H18" s="7" t="b">
        <v>0</v>
      </c>
      <c r="I18" s="7" t="b">
        <v>0</v>
      </c>
      <c r="J18" s="7" t="b">
        <v>0</v>
      </c>
      <c r="K18" s="7" t="b">
        <v>0</v>
      </c>
      <c r="L18" s="7" t="b">
        <v>0</v>
      </c>
      <c r="M18" s="7" t="b">
        <v>0</v>
      </c>
    </row>
    <row r="19" spans="2:13" x14ac:dyDescent="0.45">
      <c r="B19" s="2" t="s">
        <v>19</v>
      </c>
      <c r="C19" s="7" t="b">
        <v>1</v>
      </c>
      <c r="D19" s="7" t="b">
        <v>0</v>
      </c>
      <c r="E19" s="7" t="b">
        <v>0</v>
      </c>
      <c r="F19" s="7" t="b">
        <v>0</v>
      </c>
      <c r="G19" s="7" t="b">
        <v>0</v>
      </c>
      <c r="H19" s="7" t="b">
        <v>0</v>
      </c>
      <c r="I19" s="7" t="b">
        <v>0</v>
      </c>
      <c r="J19" s="7" t="b">
        <v>0</v>
      </c>
      <c r="K19" s="7" t="b">
        <v>0</v>
      </c>
      <c r="L19" s="7" t="b">
        <v>0</v>
      </c>
      <c r="M19" s="7" t="b">
        <v>0</v>
      </c>
    </row>
    <row r="20" spans="2:13" x14ac:dyDescent="0.45">
      <c r="B20" s="2" t="s">
        <v>20</v>
      </c>
      <c r="C20" s="7" t="b">
        <v>1</v>
      </c>
      <c r="D20" s="7" t="b">
        <v>1</v>
      </c>
      <c r="E20" s="7" t="b">
        <v>1</v>
      </c>
      <c r="F20" s="46" t="b">
        <v>1</v>
      </c>
      <c r="G20" s="7" t="b">
        <v>0</v>
      </c>
      <c r="H20" s="7" t="b">
        <v>0</v>
      </c>
      <c r="I20" s="7" t="b">
        <v>0</v>
      </c>
      <c r="J20" s="7" t="b">
        <v>0</v>
      </c>
      <c r="K20" s="7" t="b">
        <v>0</v>
      </c>
      <c r="L20" s="7" t="b">
        <v>0</v>
      </c>
      <c r="M20" s="7" t="b">
        <v>0</v>
      </c>
    </row>
    <row r="21" spans="2:13" x14ac:dyDescent="0.45">
      <c r="B21" s="2" t="s">
        <v>21</v>
      </c>
      <c r="C21" s="7" t="b">
        <v>1</v>
      </c>
      <c r="D21" s="7" t="b">
        <v>1</v>
      </c>
      <c r="E21" s="7" t="b">
        <v>1</v>
      </c>
      <c r="F21" s="46" t="b">
        <v>1</v>
      </c>
      <c r="G21" s="7" t="b">
        <v>0</v>
      </c>
      <c r="H21" s="7" t="b">
        <v>0</v>
      </c>
      <c r="I21" s="7" t="b">
        <v>0</v>
      </c>
      <c r="J21" s="7" t="b">
        <v>0</v>
      </c>
      <c r="K21" s="7" t="b">
        <v>0</v>
      </c>
      <c r="L21" s="7" t="b">
        <v>0</v>
      </c>
      <c r="M21" s="7" t="b">
        <v>0</v>
      </c>
    </row>
    <row r="22" spans="2:13" x14ac:dyDescent="0.45">
      <c r="B22" s="2" t="s">
        <v>22</v>
      </c>
      <c r="C22" s="7" t="b">
        <v>0</v>
      </c>
      <c r="D22" s="7" t="b">
        <v>0</v>
      </c>
      <c r="E22" s="7" t="b">
        <v>0</v>
      </c>
      <c r="F22" s="7" t="b">
        <v>0</v>
      </c>
      <c r="G22" s="7" t="b">
        <v>0</v>
      </c>
      <c r="H22" s="7" t="b">
        <v>0</v>
      </c>
      <c r="I22" s="7" t="b">
        <v>0</v>
      </c>
      <c r="J22" s="7" t="b">
        <v>0</v>
      </c>
      <c r="K22" s="7" t="b">
        <v>0</v>
      </c>
      <c r="L22" s="7" t="b">
        <v>0</v>
      </c>
      <c r="M22" s="7" t="b">
        <v>0</v>
      </c>
    </row>
    <row r="23" spans="2:13" x14ac:dyDescent="0.45">
      <c r="B23" s="2" t="s">
        <v>23</v>
      </c>
      <c r="C23" s="7" t="b">
        <v>0</v>
      </c>
      <c r="D23" s="7" t="b">
        <v>0</v>
      </c>
      <c r="E23" s="7" t="b">
        <v>1</v>
      </c>
      <c r="F23" s="7" t="b">
        <v>0</v>
      </c>
      <c r="G23" s="7" t="b">
        <v>0</v>
      </c>
      <c r="H23" s="7" t="b">
        <v>0</v>
      </c>
      <c r="I23" s="7" t="b">
        <v>0</v>
      </c>
      <c r="J23" s="7" t="b">
        <v>0</v>
      </c>
      <c r="K23" s="7" t="b">
        <v>0</v>
      </c>
      <c r="L23" s="7" t="b">
        <v>0</v>
      </c>
      <c r="M23" s="7" t="b">
        <v>0</v>
      </c>
    </row>
    <row r="24" spans="2:13" x14ac:dyDescent="0.45">
      <c r="B24" s="2" t="s">
        <v>24</v>
      </c>
      <c r="C24" s="7" t="b">
        <v>0</v>
      </c>
      <c r="D24" s="7" t="b">
        <v>0</v>
      </c>
      <c r="E24" s="7" t="b">
        <v>1</v>
      </c>
      <c r="F24" s="7" t="b">
        <v>0</v>
      </c>
      <c r="G24" s="7" t="b">
        <v>0</v>
      </c>
      <c r="H24" s="7" t="b">
        <v>0</v>
      </c>
      <c r="I24" s="7" t="b">
        <v>0</v>
      </c>
      <c r="J24" s="7" t="b">
        <v>0</v>
      </c>
      <c r="K24" s="7" t="b">
        <v>0</v>
      </c>
      <c r="L24" s="7" t="b">
        <v>0</v>
      </c>
      <c r="M24" s="7" t="b">
        <v>0</v>
      </c>
    </row>
    <row r="25" spans="2:13" x14ac:dyDescent="0.45">
      <c r="B25" s="2" t="s">
        <v>25</v>
      </c>
      <c r="C25" s="7" t="b">
        <v>0</v>
      </c>
      <c r="D25" s="7" t="b">
        <v>0</v>
      </c>
      <c r="E25" s="7" t="b">
        <v>0</v>
      </c>
      <c r="F25" s="7" t="b">
        <v>0</v>
      </c>
      <c r="G25" s="7" t="b">
        <v>0</v>
      </c>
      <c r="H25" s="7" t="b">
        <v>0</v>
      </c>
      <c r="I25" s="7" t="b">
        <v>0</v>
      </c>
      <c r="J25" s="7" t="b">
        <v>0</v>
      </c>
      <c r="K25" s="7" t="b">
        <v>0</v>
      </c>
      <c r="L25" s="7" t="b">
        <v>0</v>
      </c>
      <c r="M25" s="7" t="b">
        <v>0</v>
      </c>
    </row>
    <row r="26" spans="2:13" x14ac:dyDescent="0.45">
      <c r="B26" s="2" t="s">
        <v>26</v>
      </c>
      <c r="C26" s="7" t="b">
        <v>0</v>
      </c>
      <c r="D26" s="7" t="b">
        <v>0</v>
      </c>
      <c r="E26" s="7" t="b">
        <v>0</v>
      </c>
      <c r="F26" s="7" t="b">
        <v>0</v>
      </c>
      <c r="G26" s="7" t="b">
        <v>0</v>
      </c>
      <c r="H26" s="7" t="b">
        <v>0</v>
      </c>
      <c r="I26" s="7" t="b">
        <v>0</v>
      </c>
      <c r="J26" s="7" t="b">
        <v>0</v>
      </c>
      <c r="K26" s="7" t="b">
        <v>0</v>
      </c>
      <c r="L26" s="7" t="b">
        <v>0</v>
      </c>
      <c r="M26" s="7" t="b">
        <v>0</v>
      </c>
    </row>
    <row r="27" spans="2:13" x14ac:dyDescent="0.45">
      <c r="B27" s="2" t="s">
        <v>27</v>
      </c>
      <c r="C27" s="7" t="b">
        <v>1</v>
      </c>
      <c r="D27" s="7" t="b">
        <v>0</v>
      </c>
      <c r="E27" s="7" t="b">
        <v>0</v>
      </c>
      <c r="F27" s="7" t="b">
        <v>0</v>
      </c>
      <c r="G27" s="7" t="b">
        <v>0</v>
      </c>
      <c r="H27" s="7" t="b">
        <v>0</v>
      </c>
      <c r="I27" s="7" t="b">
        <v>0</v>
      </c>
      <c r="J27" s="7" t="b">
        <v>0</v>
      </c>
      <c r="K27" s="7" t="b">
        <v>0</v>
      </c>
      <c r="L27" s="7" t="b">
        <v>0</v>
      </c>
      <c r="M27" s="7" t="b">
        <v>0</v>
      </c>
    </row>
    <row r="28" spans="2:13" x14ac:dyDescent="0.45">
      <c r="B28" s="2" t="s">
        <v>28</v>
      </c>
      <c r="C28" s="7" t="b">
        <v>0</v>
      </c>
      <c r="D28" s="7" t="b">
        <v>1</v>
      </c>
      <c r="E28" s="7" t="b">
        <v>0</v>
      </c>
      <c r="F28" s="7" t="b">
        <v>0</v>
      </c>
      <c r="G28" s="7" t="b">
        <v>0</v>
      </c>
      <c r="H28" s="7" t="b">
        <v>0</v>
      </c>
      <c r="I28" s="7" t="b">
        <v>0</v>
      </c>
      <c r="J28" s="7" t="b">
        <v>0</v>
      </c>
      <c r="K28" s="7" t="b">
        <v>0</v>
      </c>
      <c r="L28" s="7" t="b">
        <v>0</v>
      </c>
      <c r="M28" s="7" t="b">
        <v>0</v>
      </c>
    </row>
    <row r="29" spans="2:13" x14ac:dyDescent="0.45">
      <c r="B29" s="2" t="s">
        <v>29</v>
      </c>
      <c r="C29" s="7" t="b">
        <v>1</v>
      </c>
      <c r="D29" s="7" t="b">
        <v>1</v>
      </c>
      <c r="E29" s="7" t="b">
        <v>1</v>
      </c>
      <c r="F29" s="7" t="b">
        <v>0</v>
      </c>
      <c r="G29" s="7" t="b">
        <v>0</v>
      </c>
      <c r="H29" s="7" t="b">
        <v>0</v>
      </c>
      <c r="I29" s="7" t="b">
        <v>0</v>
      </c>
      <c r="J29" s="7" t="b">
        <v>0</v>
      </c>
      <c r="K29" s="7" t="b">
        <v>0</v>
      </c>
      <c r="L29" s="7" t="b">
        <v>0</v>
      </c>
      <c r="M29" s="7" t="b">
        <v>0</v>
      </c>
    </row>
    <row r="30" spans="2:13" x14ac:dyDescent="0.45">
      <c r="B30" s="2" t="s">
        <v>77</v>
      </c>
      <c r="C30" s="7" t="b">
        <v>0</v>
      </c>
      <c r="D30" s="7" t="b">
        <v>0</v>
      </c>
      <c r="E30" s="7" t="b">
        <v>1</v>
      </c>
      <c r="F30" s="7" t="b">
        <v>0</v>
      </c>
      <c r="G30" s="7" t="b">
        <v>0</v>
      </c>
      <c r="H30" s="7" t="b">
        <v>0</v>
      </c>
      <c r="I30" s="7" t="b">
        <v>0</v>
      </c>
      <c r="J30" s="7" t="b">
        <v>0</v>
      </c>
      <c r="K30" s="7" t="b">
        <v>0</v>
      </c>
      <c r="L30" s="7" t="b">
        <v>0</v>
      </c>
      <c r="M30" s="7" t="b">
        <v>0</v>
      </c>
    </row>
    <row r="31" spans="2:13" x14ac:dyDescent="0.45">
      <c r="B31" s="2" t="s">
        <v>78</v>
      </c>
      <c r="C31" s="7" t="b">
        <v>0</v>
      </c>
      <c r="D31" s="7" t="b">
        <v>0</v>
      </c>
      <c r="E31" s="7" t="b">
        <v>1</v>
      </c>
      <c r="F31" s="7" t="b">
        <v>0</v>
      </c>
      <c r="G31" s="7" t="b">
        <v>0</v>
      </c>
      <c r="H31" s="7" t="b">
        <v>0</v>
      </c>
      <c r="I31" s="7" t="b">
        <v>0</v>
      </c>
      <c r="J31" s="7" t="b">
        <v>0</v>
      </c>
      <c r="K31" s="7" t="b">
        <v>0</v>
      </c>
      <c r="L31" s="7" t="b">
        <v>0</v>
      </c>
      <c r="M31" s="7" t="b">
        <v>0</v>
      </c>
    </row>
    <row r="32" spans="2:13" x14ac:dyDescent="0.45">
      <c r="B32" s="2" t="s">
        <v>79</v>
      </c>
      <c r="C32" s="7" t="b">
        <v>0</v>
      </c>
      <c r="D32" s="7" t="b">
        <v>0</v>
      </c>
      <c r="E32" s="7" t="b">
        <v>1</v>
      </c>
      <c r="F32" s="7" t="b">
        <v>0</v>
      </c>
      <c r="G32" s="7" t="b">
        <v>0</v>
      </c>
      <c r="H32" s="7" t="b">
        <v>0</v>
      </c>
      <c r="I32" s="7" t="b">
        <v>0</v>
      </c>
      <c r="J32" s="7" t="b">
        <v>0</v>
      </c>
      <c r="K32" s="7" t="b">
        <v>0</v>
      </c>
      <c r="L32" s="7" t="b">
        <v>0</v>
      </c>
      <c r="M32" s="7" t="b">
        <v>0</v>
      </c>
    </row>
    <row r="33" spans="2:13" x14ac:dyDescent="0.45">
      <c r="B33" s="2" t="s">
        <v>80</v>
      </c>
      <c r="C33" s="7" t="b">
        <v>0</v>
      </c>
      <c r="D33" s="7" t="b">
        <v>0</v>
      </c>
      <c r="E33" s="7" t="b">
        <v>0</v>
      </c>
      <c r="F33" s="46" t="b">
        <v>1</v>
      </c>
      <c r="G33" s="7" t="b">
        <v>0</v>
      </c>
      <c r="H33" s="7" t="b">
        <v>0</v>
      </c>
      <c r="I33" s="7" t="b">
        <v>0</v>
      </c>
      <c r="J33" s="7" t="b">
        <v>0</v>
      </c>
      <c r="K33" s="7" t="b">
        <v>0</v>
      </c>
      <c r="L33" s="7" t="b">
        <v>0</v>
      </c>
      <c r="M33" s="7" t="b">
        <v>0</v>
      </c>
    </row>
    <row r="34" spans="2:13" x14ac:dyDescent="0.45">
      <c r="B34" s="2" t="s">
        <v>45</v>
      </c>
      <c r="C34" s="7" t="b">
        <v>0</v>
      </c>
      <c r="D34" s="7" t="b">
        <v>0</v>
      </c>
      <c r="E34" s="7" t="b">
        <v>0</v>
      </c>
      <c r="F34" s="46" t="b">
        <v>1</v>
      </c>
      <c r="G34" s="7" t="b">
        <v>0</v>
      </c>
      <c r="H34" s="7" t="b">
        <v>0</v>
      </c>
      <c r="I34" s="7" t="b">
        <v>0</v>
      </c>
      <c r="J34" s="7" t="b">
        <v>0</v>
      </c>
      <c r="K34" s="7" t="b">
        <v>0</v>
      </c>
      <c r="L34" s="7" t="b">
        <v>0</v>
      </c>
      <c r="M34" s="7" t="b">
        <v>0</v>
      </c>
    </row>
    <row r="35" spans="2:13" x14ac:dyDescent="0.45">
      <c r="B35" s="2" t="s">
        <v>81</v>
      </c>
      <c r="C35" s="7" t="b">
        <v>0</v>
      </c>
      <c r="D35" s="7" t="b">
        <v>0</v>
      </c>
      <c r="E35" s="7" t="b">
        <v>0</v>
      </c>
      <c r="F35" s="46" t="b">
        <v>1</v>
      </c>
      <c r="G35" s="7" t="b">
        <v>0</v>
      </c>
      <c r="H35" s="7" t="b">
        <v>0</v>
      </c>
      <c r="I35" s="7" t="b">
        <v>0</v>
      </c>
      <c r="J35" s="7" t="b">
        <v>0</v>
      </c>
      <c r="K35" s="7" t="b">
        <v>0</v>
      </c>
      <c r="L35" s="7" t="b">
        <v>0</v>
      </c>
      <c r="M35" s="7" t="b">
        <v>0</v>
      </c>
    </row>
    <row r="36" spans="2:13" x14ac:dyDescent="0.45">
      <c r="B36" s="2" t="s">
        <v>82</v>
      </c>
      <c r="C36" s="7" t="b">
        <v>0</v>
      </c>
      <c r="D36" s="7" t="b">
        <v>0</v>
      </c>
      <c r="E36" s="7" t="b">
        <v>0</v>
      </c>
      <c r="F36" s="46" t="b">
        <v>1</v>
      </c>
      <c r="G36" s="7" t="b">
        <v>0</v>
      </c>
      <c r="H36" s="7" t="b">
        <v>0</v>
      </c>
      <c r="I36" s="7" t="b">
        <v>0</v>
      </c>
      <c r="J36" s="7" t="b">
        <v>0</v>
      </c>
      <c r="K36" s="7" t="b">
        <v>0</v>
      </c>
      <c r="L36" s="7" t="b">
        <v>0</v>
      </c>
      <c r="M36" s="7" t="b">
        <v>0</v>
      </c>
    </row>
    <row r="37" spans="2:13" x14ac:dyDescent="0.45">
      <c r="B37" s="2"/>
      <c r="C37" s="7" t="b">
        <v>0</v>
      </c>
      <c r="D37" s="7" t="b">
        <v>0</v>
      </c>
      <c r="E37" s="7" t="b">
        <v>0</v>
      </c>
      <c r="F37" s="7" t="b">
        <v>0</v>
      </c>
      <c r="G37" s="7" t="b">
        <v>0</v>
      </c>
      <c r="H37" s="7" t="b">
        <v>0</v>
      </c>
      <c r="I37" s="7" t="b">
        <v>0</v>
      </c>
      <c r="J37" s="7" t="b">
        <v>0</v>
      </c>
      <c r="K37" s="7" t="b">
        <v>0</v>
      </c>
      <c r="L37" s="7" t="b">
        <v>0</v>
      </c>
      <c r="M37" s="7" t="b">
        <v>0</v>
      </c>
    </row>
    <row r="38" spans="2:13" x14ac:dyDescent="0.45">
      <c r="B38" s="2"/>
      <c r="C38" s="7" t="b">
        <v>0</v>
      </c>
      <c r="D38" s="7" t="b">
        <v>1</v>
      </c>
      <c r="E38" s="7" t="b">
        <v>0</v>
      </c>
      <c r="F38" s="7" t="b">
        <v>0</v>
      </c>
      <c r="G38" s="7" t="b">
        <v>0</v>
      </c>
      <c r="H38" s="7" t="b">
        <v>0</v>
      </c>
      <c r="I38" s="7" t="b">
        <v>0</v>
      </c>
      <c r="J38" s="7" t="b">
        <v>0</v>
      </c>
      <c r="K38" s="7" t="b">
        <v>0</v>
      </c>
      <c r="L38" s="7" t="b">
        <v>0</v>
      </c>
      <c r="M38" s="7" t="b">
        <v>0</v>
      </c>
    </row>
    <row r="39" spans="2:13" x14ac:dyDescent="0.45">
      <c r="B39" s="6" t="s">
        <v>9</v>
      </c>
      <c r="C39" s="2">
        <f>COUNTIF(C12:C38,TRUE)</f>
        <v>9</v>
      </c>
      <c r="D39" s="2">
        <f>COUNTIF(D12:D38,TRUE)</f>
        <v>6</v>
      </c>
      <c r="E39" s="2">
        <f t="shared" ref="E39:M39" si="0">COUNTIF(E12:E38,TRUE)</f>
        <v>10</v>
      </c>
      <c r="F39" s="2">
        <f t="shared" si="0"/>
        <v>9</v>
      </c>
      <c r="G39" s="2">
        <f t="shared" si="0"/>
        <v>0</v>
      </c>
      <c r="H39" s="2">
        <f t="shared" si="0"/>
        <v>0</v>
      </c>
      <c r="I39" s="2">
        <f t="shared" si="0"/>
        <v>0</v>
      </c>
      <c r="J39" s="2">
        <f t="shared" si="0"/>
        <v>0</v>
      </c>
      <c r="K39" s="2">
        <f t="shared" si="0"/>
        <v>0</v>
      </c>
      <c r="L39" s="2">
        <f t="shared" si="0"/>
        <v>0</v>
      </c>
      <c r="M39" s="2">
        <f t="shared" si="0"/>
        <v>0</v>
      </c>
    </row>
    <row r="40" spans="2:13" x14ac:dyDescent="0.45">
      <c r="B40" s="9" t="s">
        <v>30</v>
      </c>
      <c r="C40" s="2">
        <f>C39*3+3</f>
        <v>30</v>
      </c>
      <c r="D40" s="2">
        <f t="shared" ref="D40:M40" si="1">D39*3</f>
        <v>18</v>
      </c>
      <c r="E40" s="2">
        <f t="shared" si="1"/>
        <v>30</v>
      </c>
      <c r="F40" s="2">
        <f t="shared" si="1"/>
        <v>27</v>
      </c>
      <c r="G40" s="2">
        <f t="shared" si="1"/>
        <v>0</v>
      </c>
      <c r="H40" s="2">
        <f t="shared" si="1"/>
        <v>0</v>
      </c>
      <c r="I40" s="2">
        <f t="shared" si="1"/>
        <v>0</v>
      </c>
      <c r="J40" s="2">
        <f t="shared" si="1"/>
        <v>0</v>
      </c>
      <c r="K40" s="2">
        <f t="shared" si="1"/>
        <v>0</v>
      </c>
      <c r="L40" s="2">
        <f t="shared" si="1"/>
        <v>0</v>
      </c>
      <c r="M40" s="2">
        <f t="shared" si="1"/>
        <v>0</v>
      </c>
    </row>
    <row r="41" spans="2:13" x14ac:dyDescent="0.45">
      <c r="B41" s="10" t="s">
        <v>31</v>
      </c>
      <c r="C41" s="5">
        <f>C40-C46</f>
        <v>17.73</v>
      </c>
      <c r="D41" s="5">
        <f t="shared" ref="D41:M41" si="2">D40-D46</f>
        <v>13.092000000000001</v>
      </c>
      <c r="E41" s="5">
        <f t="shared" si="2"/>
        <v>21.82</v>
      </c>
      <c r="F41" s="5">
        <f>F40-F46</f>
        <v>19.637999999999998</v>
      </c>
      <c r="G41" s="5">
        <f t="shared" si="2"/>
        <v>0</v>
      </c>
      <c r="H41" s="5">
        <f t="shared" si="2"/>
        <v>0</v>
      </c>
      <c r="I41" s="5">
        <f t="shared" si="2"/>
        <v>0</v>
      </c>
      <c r="J41" s="5">
        <f t="shared" si="2"/>
        <v>0</v>
      </c>
      <c r="K41" s="5">
        <f t="shared" si="2"/>
        <v>0</v>
      </c>
      <c r="L41" s="5">
        <f t="shared" si="2"/>
        <v>0</v>
      </c>
      <c r="M41" s="5">
        <f t="shared" si="2"/>
        <v>0</v>
      </c>
    </row>
    <row r="43" spans="2:13" x14ac:dyDescent="0.45">
      <c r="C43" s="1" t="s">
        <v>32</v>
      </c>
      <c r="D43" s="1" t="s">
        <v>32</v>
      </c>
      <c r="E43" s="1" t="s">
        <v>32</v>
      </c>
      <c r="F43" s="1" t="s">
        <v>32</v>
      </c>
      <c r="G43" s="1" t="s">
        <v>32</v>
      </c>
      <c r="H43" s="1" t="s">
        <v>32</v>
      </c>
      <c r="I43" s="1" t="s">
        <v>32</v>
      </c>
      <c r="J43" s="1" t="s">
        <v>32</v>
      </c>
      <c r="K43" s="1" t="s">
        <v>32</v>
      </c>
      <c r="L43" s="1" t="s">
        <v>32</v>
      </c>
      <c r="M43" s="1" t="s">
        <v>32</v>
      </c>
    </row>
    <row r="44" spans="2:13" x14ac:dyDescent="0.45">
      <c r="C44" s="2">
        <v>3</v>
      </c>
      <c r="D44" s="2">
        <f>D39/5</f>
        <v>1.2</v>
      </c>
      <c r="E44" s="2">
        <f t="shared" ref="E44:L44" si="3">E39/5</f>
        <v>2</v>
      </c>
      <c r="F44" s="2">
        <f t="shared" si="3"/>
        <v>1.8</v>
      </c>
      <c r="G44" s="2">
        <f t="shared" si="3"/>
        <v>0</v>
      </c>
      <c r="H44" s="2">
        <f t="shared" si="3"/>
        <v>0</v>
      </c>
      <c r="I44" s="2">
        <f t="shared" si="3"/>
        <v>0</v>
      </c>
      <c r="J44" s="2">
        <f t="shared" si="3"/>
        <v>0</v>
      </c>
      <c r="K44" s="2">
        <f t="shared" si="3"/>
        <v>0</v>
      </c>
      <c r="L44" s="2">
        <f t="shared" si="3"/>
        <v>0</v>
      </c>
      <c r="M44" s="2">
        <f>M39/5</f>
        <v>0</v>
      </c>
    </row>
    <row r="45" spans="2:13" x14ac:dyDescent="0.45">
      <c r="C45" s="1" t="s">
        <v>9</v>
      </c>
      <c r="D45" s="1" t="s">
        <v>9</v>
      </c>
      <c r="E45" s="1" t="s">
        <v>9</v>
      </c>
      <c r="F45" s="1" t="s">
        <v>9</v>
      </c>
      <c r="G45" s="1" t="s">
        <v>9</v>
      </c>
      <c r="H45" s="1" t="s">
        <v>9</v>
      </c>
      <c r="I45" s="1" t="s">
        <v>9</v>
      </c>
      <c r="J45" s="1" t="s">
        <v>9</v>
      </c>
      <c r="K45" s="1" t="s">
        <v>9</v>
      </c>
      <c r="L45" s="1" t="s">
        <v>9</v>
      </c>
      <c r="M45" s="1" t="s">
        <v>9</v>
      </c>
    </row>
    <row r="46" spans="2:13" x14ac:dyDescent="0.45">
      <c r="C46" s="3">
        <f>C44*$F$3</f>
        <v>12.27</v>
      </c>
      <c r="D46" s="3">
        <f t="shared" ref="D46:M46" si="4">D44*$F$3</f>
        <v>4.9079999999999995</v>
      </c>
      <c r="E46" s="3">
        <f t="shared" si="4"/>
        <v>8.18</v>
      </c>
      <c r="F46" s="3">
        <f t="shared" si="4"/>
        <v>7.3620000000000001</v>
      </c>
      <c r="G46" s="3">
        <f t="shared" si="4"/>
        <v>0</v>
      </c>
      <c r="H46" s="3">
        <f t="shared" si="4"/>
        <v>0</v>
      </c>
      <c r="I46" s="3">
        <f t="shared" si="4"/>
        <v>0</v>
      </c>
      <c r="J46" s="3">
        <f t="shared" si="4"/>
        <v>0</v>
      </c>
      <c r="K46" s="3">
        <f t="shared" si="4"/>
        <v>0</v>
      </c>
      <c r="L46" s="3">
        <f t="shared" si="4"/>
        <v>0</v>
      </c>
      <c r="M46" s="3">
        <f t="shared" si="4"/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C51D-B467-42F8-9574-4AA78CB43D77}">
  <dimension ref="B2:D10"/>
  <sheetViews>
    <sheetView workbookViewId="0">
      <selection activeCell="D8" sqref="D8"/>
    </sheetView>
  </sheetViews>
  <sheetFormatPr baseColWidth="10" defaultColWidth="11.53125" defaultRowHeight="14.25" x14ac:dyDescent="0.45"/>
  <cols>
    <col min="1" max="1" width="3.46484375" style="4" customWidth="1"/>
    <col min="2" max="2" width="19.53125" style="4" customWidth="1"/>
    <col min="3" max="3" width="15.46484375" style="4" customWidth="1"/>
    <col min="4" max="4" width="18.3984375" style="4" customWidth="1"/>
    <col min="5" max="16384" width="11.53125" style="4"/>
  </cols>
  <sheetData>
    <row r="2" spans="2:4" x14ac:dyDescent="0.45">
      <c r="B2" s="1" t="s">
        <v>0</v>
      </c>
      <c r="C2" s="1" t="s">
        <v>4</v>
      </c>
      <c r="D2" s="1" t="s">
        <v>1</v>
      </c>
    </row>
    <row r="3" spans="2:4" x14ac:dyDescent="0.45">
      <c r="B3" s="2" t="s">
        <v>33</v>
      </c>
      <c r="C3" s="2">
        <v>150</v>
      </c>
      <c r="D3" s="3">
        <v>1.01</v>
      </c>
    </row>
    <row r="4" spans="2:4" x14ac:dyDescent="0.45">
      <c r="B4" s="2" t="s">
        <v>3</v>
      </c>
      <c r="C4" s="2">
        <v>2</v>
      </c>
      <c r="D4" s="3">
        <v>0.3</v>
      </c>
    </row>
    <row r="5" spans="2:4" x14ac:dyDescent="0.45">
      <c r="B5" s="2" t="s">
        <v>5</v>
      </c>
      <c r="C5" s="2">
        <v>180</v>
      </c>
      <c r="D5" s="3">
        <v>0.53</v>
      </c>
    </row>
    <row r="6" spans="2:4" x14ac:dyDescent="0.45">
      <c r="B6" s="2" t="s">
        <v>6</v>
      </c>
      <c r="C6" s="2">
        <v>125</v>
      </c>
      <c r="D6" s="3">
        <v>2.25</v>
      </c>
    </row>
    <row r="7" spans="2:4" x14ac:dyDescent="0.45">
      <c r="B7" s="2" t="s">
        <v>34</v>
      </c>
      <c r="C7" s="2">
        <v>1</v>
      </c>
      <c r="D7" s="3">
        <v>0.3</v>
      </c>
    </row>
    <row r="8" spans="2:4" x14ac:dyDescent="0.45">
      <c r="B8" s="2"/>
      <c r="C8" s="2"/>
      <c r="D8" s="2"/>
    </row>
    <row r="9" spans="2:4" x14ac:dyDescent="0.45">
      <c r="B9" s="2"/>
      <c r="C9" s="2"/>
      <c r="D9" s="2"/>
    </row>
    <row r="10" spans="2:4" x14ac:dyDescent="0.45">
      <c r="B10" s="2"/>
      <c r="C10" s="2"/>
      <c r="D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883D-8731-8947-AA01-50D32E4AAF96}">
  <dimension ref="B2:P43"/>
  <sheetViews>
    <sheetView zoomScale="63" zoomScaleNormal="85" workbookViewId="0">
      <selection activeCell="K8" sqref="K8"/>
    </sheetView>
  </sheetViews>
  <sheetFormatPr baseColWidth="10" defaultColWidth="11.3984375" defaultRowHeight="14.25" x14ac:dyDescent="0.45"/>
  <cols>
    <col min="1" max="1" width="4.33203125" style="4" customWidth="1"/>
    <col min="2" max="2" width="21.3984375" style="4" customWidth="1"/>
    <col min="3" max="3" width="17.06640625" style="4" customWidth="1"/>
    <col min="4" max="4" width="15.33203125" style="4" customWidth="1"/>
    <col min="5" max="5" width="10.59765625" style="4" customWidth="1"/>
    <col min="6" max="6" width="14.53125" style="4" customWidth="1"/>
    <col min="7" max="7" width="17.33203125" style="4" customWidth="1"/>
    <col min="8" max="8" width="16.3984375" style="4" customWidth="1"/>
    <col min="9" max="9" width="14.9296875" style="4" customWidth="1"/>
    <col min="10" max="16384" width="11.3984375" style="4"/>
  </cols>
  <sheetData>
    <row r="2" spans="2:16" x14ac:dyDescent="0.45">
      <c r="B2" s="1" t="s">
        <v>0</v>
      </c>
      <c r="C2" s="1" t="s">
        <v>4</v>
      </c>
      <c r="D2" s="1" t="s">
        <v>1</v>
      </c>
      <c r="F2" s="1" t="s">
        <v>9</v>
      </c>
      <c r="G2" s="1" t="s">
        <v>10</v>
      </c>
      <c r="H2" s="15" t="s">
        <v>55</v>
      </c>
      <c r="I2" s="15" t="s">
        <v>66</v>
      </c>
    </row>
    <row r="3" spans="2:16" x14ac:dyDescent="0.45">
      <c r="B3" s="2" t="s">
        <v>33</v>
      </c>
      <c r="C3" s="2">
        <v>80</v>
      </c>
      <c r="D3" s="3">
        <v>1.01</v>
      </c>
      <c r="F3" s="5">
        <f>SUM(D5:D7,D3)+C4*D4</f>
        <v>9.51</v>
      </c>
      <c r="G3" s="2">
        <v>1</v>
      </c>
      <c r="H3" s="22">
        <f>G3/0.4</f>
        <v>2.5</v>
      </c>
      <c r="I3" s="26">
        <f>F3*2</f>
        <v>19.02</v>
      </c>
    </row>
    <row r="4" spans="2:16" x14ac:dyDescent="0.45">
      <c r="B4" s="2" t="s">
        <v>3</v>
      </c>
      <c r="C4" s="2">
        <v>2</v>
      </c>
      <c r="D4" s="3">
        <v>0.3</v>
      </c>
    </row>
    <row r="5" spans="2:16" x14ac:dyDescent="0.45">
      <c r="B5" s="2" t="s">
        <v>35</v>
      </c>
      <c r="C5" s="2">
        <v>500</v>
      </c>
      <c r="D5" s="3">
        <v>4.3899999999999997</v>
      </c>
      <c r="F5" s="1" t="s">
        <v>56</v>
      </c>
      <c r="G5" s="1" t="s">
        <v>10</v>
      </c>
      <c r="H5" s="13" t="s">
        <v>9</v>
      </c>
      <c r="I5" s="13" t="s">
        <v>39</v>
      </c>
      <c r="J5" s="16" t="s">
        <v>57</v>
      </c>
      <c r="K5" s="16" t="s">
        <v>58</v>
      </c>
      <c r="L5" s="16" t="s">
        <v>31</v>
      </c>
    </row>
    <row r="6" spans="2:16" x14ac:dyDescent="0.45">
      <c r="B6" s="2" t="s">
        <v>36</v>
      </c>
      <c r="C6" s="2">
        <v>400</v>
      </c>
      <c r="D6" s="3">
        <v>2</v>
      </c>
      <c r="F6" s="2">
        <v>3</v>
      </c>
      <c r="G6" s="38">
        <f>F6*0.4</f>
        <v>1.2000000000000002</v>
      </c>
      <c r="H6" s="39">
        <f>G6*F3</f>
        <v>11.412000000000001</v>
      </c>
      <c r="I6" s="14">
        <f>H6/F6</f>
        <v>3.8040000000000003</v>
      </c>
      <c r="J6" s="28">
        <v>7</v>
      </c>
      <c r="K6" s="28">
        <f>J6*F6</f>
        <v>21</v>
      </c>
      <c r="L6" s="28">
        <f>K6-H6</f>
        <v>9.5879999999999992</v>
      </c>
    </row>
    <row r="7" spans="2:16" x14ac:dyDescent="0.45">
      <c r="B7" s="2" t="s">
        <v>37</v>
      </c>
      <c r="C7" s="2">
        <v>250</v>
      </c>
      <c r="D7" s="11">
        <v>1.51</v>
      </c>
    </row>
    <row r="8" spans="2:16" x14ac:dyDescent="0.45">
      <c r="B8" s="2"/>
      <c r="C8" s="2"/>
      <c r="D8" s="2"/>
      <c r="F8" s="15" t="s">
        <v>59</v>
      </c>
      <c r="G8" s="15" t="s">
        <v>60</v>
      </c>
      <c r="H8" s="15" t="s">
        <v>61</v>
      </c>
      <c r="I8" s="15" t="s">
        <v>62</v>
      </c>
      <c r="J8" s="15" t="s">
        <v>63</v>
      </c>
      <c r="K8" s="15" t="s">
        <v>64</v>
      </c>
      <c r="L8" s="15" t="s">
        <v>65</v>
      </c>
      <c r="M8" s="40" t="s">
        <v>67</v>
      </c>
      <c r="N8" s="40" t="s">
        <v>68</v>
      </c>
      <c r="O8" s="15" t="s">
        <v>64</v>
      </c>
      <c r="P8" s="15" t="s">
        <v>65</v>
      </c>
    </row>
    <row r="9" spans="2:16" x14ac:dyDescent="0.45">
      <c r="B9" s="2" t="s">
        <v>8</v>
      </c>
      <c r="C9" s="2">
        <v>1</v>
      </c>
      <c r="D9" s="2"/>
      <c r="F9" s="26">
        <f>F3</f>
        <v>9.51</v>
      </c>
      <c r="G9" s="26">
        <f>F9*(0.4)</f>
        <v>3.8040000000000003</v>
      </c>
      <c r="H9" s="26">
        <f>F9*2*0.2</f>
        <v>3.8040000000000003</v>
      </c>
      <c r="I9" s="26">
        <v>7</v>
      </c>
      <c r="J9" s="26">
        <v>3</v>
      </c>
      <c r="K9" s="26">
        <f>I9-G9</f>
        <v>3.1959999999999997</v>
      </c>
      <c r="L9" s="42">
        <f>J9-H9</f>
        <v>-0.80400000000000027</v>
      </c>
      <c r="M9" s="26">
        <f>K9*2.5</f>
        <v>7.9899999999999993</v>
      </c>
      <c r="N9" s="42">
        <f>L9*12</f>
        <v>-9.6480000000000032</v>
      </c>
      <c r="O9" s="26">
        <f>I9*2.5-F3</f>
        <v>7.99</v>
      </c>
      <c r="P9" s="41">
        <f>(J9*12)-(F3*2)</f>
        <v>16.98</v>
      </c>
    </row>
    <row r="11" spans="2:16" x14ac:dyDescent="0.45">
      <c r="B11" s="1" t="s">
        <v>11</v>
      </c>
      <c r="C11" s="8" t="b">
        <v>1</v>
      </c>
      <c r="D11" s="8" t="b">
        <v>1</v>
      </c>
      <c r="E11" s="8" t="b">
        <v>1</v>
      </c>
      <c r="F11" s="8" t="b">
        <v>1</v>
      </c>
      <c r="G11" s="8" t="b">
        <v>1</v>
      </c>
      <c r="H11" s="8" t="b">
        <v>1</v>
      </c>
      <c r="I11" s="8" t="b">
        <v>1</v>
      </c>
      <c r="J11" s="8" t="b">
        <v>1</v>
      </c>
      <c r="K11" s="8" t="b">
        <v>1</v>
      </c>
      <c r="L11" s="8" t="b">
        <v>1</v>
      </c>
      <c r="M11" s="8" t="b">
        <v>1</v>
      </c>
    </row>
    <row r="12" spans="2:16" x14ac:dyDescent="0.45">
      <c r="B12" s="2" t="s">
        <v>12</v>
      </c>
      <c r="C12" s="7" t="b">
        <v>0</v>
      </c>
      <c r="D12" s="7" t="b">
        <v>0</v>
      </c>
      <c r="E12" s="7" t="b">
        <v>0</v>
      </c>
      <c r="F12" s="7" t="b">
        <v>0</v>
      </c>
      <c r="G12" s="7" t="b">
        <v>0</v>
      </c>
      <c r="H12" s="7" t="b">
        <v>0</v>
      </c>
      <c r="I12" s="7" t="b">
        <v>0</v>
      </c>
      <c r="J12" s="7" t="b">
        <v>0</v>
      </c>
      <c r="K12" s="7" t="b">
        <v>0</v>
      </c>
      <c r="L12" s="7" t="b">
        <v>0</v>
      </c>
      <c r="M12" s="7" t="b">
        <v>0</v>
      </c>
    </row>
    <row r="13" spans="2:16" x14ac:dyDescent="0.45">
      <c r="B13" s="2" t="s">
        <v>13</v>
      </c>
      <c r="C13" s="7" t="b">
        <v>1</v>
      </c>
      <c r="D13" s="7" t="b">
        <v>1</v>
      </c>
      <c r="E13" s="7" t="b">
        <v>0</v>
      </c>
      <c r="F13" s="7" t="b">
        <v>0</v>
      </c>
      <c r="G13" s="7" t="b">
        <v>0</v>
      </c>
      <c r="H13" s="7" t="b">
        <v>0</v>
      </c>
      <c r="I13" s="7" t="b">
        <v>0</v>
      </c>
      <c r="J13" s="7" t="b">
        <v>0</v>
      </c>
      <c r="K13" s="7" t="b">
        <v>0</v>
      </c>
      <c r="L13" s="7" t="b">
        <v>0</v>
      </c>
      <c r="M13" s="7" t="b">
        <v>0</v>
      </c>
    </row>
    <row r="14" spans="2:16" x14ac:dyDescent="0.45">
      <c r="B14" s="2" t="s">
        <v>14</v>
      </c>
      <c r="C14" s="7" t="b">
        <v>1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7" t="b">
        <v>0</v>
      </c>
      <c r="J14" s="7" t="b">
        <v>0</v>
      </c>
      <c r="K14" s="7" t="b">
        <v>0</v>
      </c>
      <c r="L14" s="7" t="b">
        <v>0</v>
      </c>
      <c r="M14" s="7" t="b">
        <v>0</v>
      </c>
    </row>
    <row r="15" spans="2:16" x14ac:dyDescent="0.45">
      <c r="B15" s="2" t="s">
        <v>15</v>
      </c>
      <c r="C15" s="7" t="b">
        <v>0</v>
      </c>
      <c r="D15" s="7" t="b">
        <v>0</v>
      </c>
      <c r="E15" s="7" t="b">
        <v>0</v>
      </c>
      <c r="F15" s="7" t="b">
        <v>0</v>
      </c>
      <c r="G15" s="7" t="b">
        <v>0</v>
      </c>
      <c r="H15" s="7" t="b">
        <v>0</v>
      </c>
      <c r="I15" s="7" t="b">
        <v>0</v>
      </c>
      <c r="J15" s="7" t="b">
        <v>0</v>
      </c>
      <c r="K15" s="7" t="b">
        <v>0</v>
      </c>
      <c r="L15" s="7" t="b">
        <v>0</v>
      </c>
      <c r="M15" s="7" t="b">
        <v>0</v>
      </c>
    </row>
    <row r="16" spans="2:16" x14ac:dyDescent="0.45">
      <c r="B16" s="2" t="s">
        <v>16</v>
      </c>
      <c r="C16" s="7" t="b">
        <v>0</v>
      </c>
      <c r="D16" s="7" t="b">
        <v>0</v>
      </c>
      <c r="E16" s="7" t="b">
        <v>0</v>
      </c>
      <c r="F16" s="7" t="b">
        <v>0</v>
      </c>
      <c r="G16" s="7" t="b">
        <v>0</v>
      </c>
      <c r="H16" s="7" t="b">
        <v>0</v>
      </c>
      <c r="I16" s="7" t="b">
        <v>0</v>
      </c>
      <c r="J16" s="7" t="b">
        <v>0</v>
      </c>
      <c r="K16" s="7" t="b">
        <v>0</v>
      </c>
      <c r="L16" s="7" t="b">
        <v>0</v>
      </c>
      <c r="M16" s="7" t="b">
        <v>0</v>
      </c>
    </row>
    <row r="17" spans="2:13" x14ac:dyDescent="0.45">
      <c r="B17" s="2" t="s">
        <v>17</v>
      </c>
      <c r="C17" s="7" t="b">
        <v>1</v>
      </c>
      <c r="D17" s="7" t="b">
        <v>0</v>
      </c>
      <c r="E17" s="7" t="b">
        <v>0</v>
      </c>
      <c r="F17" s="7" t="b">
        <v>0</v>
      </c>
      <c r="G17" s="7" t="b">
        <v>0</v>
      </c>
      <c r="H17" s="7" t="b">
        <v>0</v>
      </c>
      <c r="I17" s="7" t="b">
        <v>0</v>
      </c>
      <c r="J17" s="7" t="b">
        <v>0</v>
      </c>
      <c r="K17" s="7" t="b">
        <v>0</v>
      </c>
      <c r="L17" s="7" t="b">
        <v>0</v>
      </c>
      <c r="M17" s="7" t="b">
        <v>0</v>
      </c>
    </row>
    <row r="18" spans="2:13" x14ac:dyDescent="0.45">
      <c r="B18" s="2" t="s">
        <v>18</v>
      </c>
      <c r="C18" s="7" t="b">
        <v>1</v>
      </c>
      <c r="D18" s="7" t="b">
        <v>0</v>
      </c>
      <c r="E18" s="7" t="b">
        <v>0</v>
      </c>
      <c r="F18" s="7" t="b">
        <v>0</v>
      </c>
      <c r="G18" s="7" t="b">
        <v>0</v>
      </c>
      <c r="H18" s="7" t="b">
        <v>0</v>
      </c>
      <c r="I18" s="7" t="b">
        <v>0</v>
      </c>
      <c r="J18" s="7" t="b">
        <v>0</v>
      </c>
      <c r="K18" s="7" t="b">
        <v>0</v>
      </c>
      <c r="L18" s="7" t="b">
        <v>0</v>
      </c>
      <c r="M18" s="7" t="b">
        <v>0</v>
      </c>
    </row>
    <row r="19" spans="2:13" x14ac:dyDescent="0.45">
      <c r="B19" s="2" t="s">
        <v>19</v>
      </c>
      <c r="C19" s="7" t="b">
        <v>1</v>
      </c>
      <c r="D19" s="7" t="b">
        <v>0</v>
      </c>
      <c r="E19" s="7" t="b">
        <v>0</v>
      </c>
      <c r="F19" s="7" t="b">
        <v>0</v>
      </c>
      <c r="G19" s="7" t="b">
        <v>0</v>
      </c>
      <c r="H19" s="7" t="b">
        <v>0</v>
      </c>
      <c r="I19" s="7" t="b">
        <v>0</v>
      </c>
      <c r="J19" s="7" t="b">
        <v>0</v>
      </c>
      <c r="K19" s="7" t="b">
        <v>0</v>
      </c>
      <c r="L19" s="7" t="b">
        <v>0</v>
      </c>
      <c r="M19" s="7" t="b">
        <v>0</v>
      </c>
    </row>
    <row r="20" spans="2:13" x14ac:dyDescent="0.45">
      <c r="B20" s="2" t="s">
        <v>20</v>
      </c>
      <c r="C20" s="7" t="b">
        <v>1</v>
      </c>
      <c r="D20" s="7" t="b">
        <v>1</v>
      </c>
      <c r="E20" s="7" t="b">
        <v>0</v>
      </c>
      <c r="F20" s="7" t="b">
        <v>0</v>
      </c>
      <c r="G20" s="7" t="b">
        <v>0</v>
      </c>
      <c r="H20" s="7" t="b">
        <v>0</v>
      </c>
      <c r="I20" s="7" t="b">
        <v>0</v>
      </c>
      <c r="J20" s="7" t="b">
        <v>0</v>
      </c>
      <c r="K20" s="7" t="b">
        <v>0</v>
      </c>
      <c r="L20" s="7" t="b">
        <v>0</v>
      </c>
      <c r="M20" s="7" t="b">
        <v>0</v>
      </c>
    </row>
    <row r="21" spans="2:13" x14ac:dyDescent="0.45">
      <c r="B21" s="2" t="s">
        <v>21</v>
      </c>
      <c r="C21" s="7" t="b">
        <v>1</v>
      </c>
      <c r="D21" s="7" t="b">
        <v>1</v>
      </c>
      <c r="E21" s="7" t="b">
        <v>0</v>
      </c>
      <c r="F21" s="7" t="b">
        <v>0</v>
      </c>
      <c r="G21" s="7" t="b">
        <v>0</v>
      </c>
      <c r="H21" s="7" t="b">
        <v>0</v>
      </c>
      <c r="I21" s="7" t="b">
        <v>0</v>
      </c>
      <c r="J21" s="7" t="b">
        <v>0</v>
      </c>
      <c r="K21" s="7" t="b">
        <v>0</v>
      </c>
      <c r="L21" s="7" t="b">
        <v>0</v>
      </c>
      <c r="M21" s="7" t="b">
        <v>0</v>
      </c>
    </row>
    <row r="22" spans="2:13" x14ac:dyDescent="0.45">
      <c r="B22" s="2" t="s">
        <v>22</v>
      </c>
      <c r="C22" s="7" t="b">
        <v>0</v>
      </c>
      <c r="D22" s="7" t="b">
        <v>0</v>
      </c>
      <c r="E22" s="7" t="b">
        <v>0</v>
      </c>
      <c r="F22" s="7" t="b">
        <v>0</v>
      </c>
      <c r="G22" s="7" t="b">
        <v>0</v>
      </c>
      <c r="H22" s="7" t="b">
        <v>0</v>
      </c>
      <c r="I22" s="7" t="b">
        <v>0</v>
      </c>
      <c r="J22" s="7" t="b">
        <v>0</v>
      </c>
      <c r="K22" s="7" t="b">
        <v>0</v>
      </c>
      <c r="L22" s="7" t="b">
        <v>0</v>
      </c>
      <c r="M22" s="7" t="b">
        <v>0</v>
      </c>
    </row>
    <row r="23" spans="2:13" x14ac:dyDescent="0.45">
      <c r="B23" s="2" t="s">
        <v>23</v>
      </c>
      <c r="C23" s="7" t="b">
        <v>0</v>
      </c>
      <c r="D23" s="7" t="b">
        <v>0</v>
      </c>
      <c r="E23" s="7" t="b">
        <v>0</v>
      </c>
      <c r="F23" s="7" t="b">
        <v>0</v>
      </c>
      <c r="G23" s="7" t="b">
        <v>0</v>
      </c>
      <c r="H23" s="7" t="b">
        <v>0</v>
      </c>
      <c r="I23" s="7" t="b">
        <v>0</v>
      </c>
      <c r="J23" s="7" t="b">
        <v>0</v>
      </c>
      <c r="K23" s="7" t="b">
        <v>0</v>
      </c>
      <c r="L23" s="7" t="b">
        <v>0</v>
      </c>
      <c r="M23" s="7" t="b">
        <v>0</v>
      </c>
    </row>
    <row r="24" spans="2:13" x14ac:dyDescent="0.45">
      <c r="B24" s="2" t="s">
        <v>24</v>
      </c>
      <c r="C24" s="7" t="b">
        <v>0</v>
      </c>
      <c r="D24" s="7" t="b">
        <v>0</v>
      </c>
      <c r="E24" s="7" t="b">
        <v>0</v>
      </c>
      <c r="F24" s="7" t="b">
        <v>0</v>
      </c>
      <c r="G24" s="7" t="b">
        <v>0</v>
      </c>
      <c r="H24" s="7" t="b">
        <v>0</v>
      </c>
      <c r="I24" s="7" t="b">
        <v>0</v>
      </c>
      <c r="J24" s="7" t="b">
        <v>0</v>
      </c>
      <c r="K24" s="7" t="b">
        <v>0</v>
      </c>
      <c r="L24" s="7" t="b">
        <v>0</v>
      </c>
      <c r="M24" s="7" t="b">
        <v>0</v>
      </c>
    </row>
    <row r="25" spans="2:13" x14ac:dyDescent="0.45">
      <c r="B25" s="2" t="s">
        <v>25</v>
      </c>
      <c r="C25" s="7" t="b">
        <v>0</v>
      </c>
      <c r="D25" s="7" t="b">
        <v>0</v>
      </c>
      <c r="E25" s="7" t="b">
        <v>0</v>
      </c>
      <c r="F25" s="7" t="b">
        <v>0</v>
      </c>
      <c r="G25" s="7" t="b">
        <v>0</v>
      </c>
      <c r="H25" s="7" t="b">
        <v>0</v>
      </c>
      <c r="I25" s="7" t="b">
        <v>0</v>
      </c>
      <c r="J25" s="7" t="b">
        <v>0</v>
      </c>
      <c r="K25" s="7" t="b">
        <v>0</v>
      </c>
      <c r="L25" s="7" t="b">
        <v>0</v>
      </c>
      <c r="M25" s="7" t="b">
        <v>0</v>
      </c>
    </row>
    <row r="26" spans="2:13" x14ac:dyDescent="0.45">
      <c r="B26" s="2" t="s">
        <v>26</v>
      </c>
      <c r="C26" s="7" t="b">
        <v>0</v>
      </c>
      <c r="D26" s="7" t="b">
        <v>0</v>
      </c>
      <c r="E26" s="7" t="b">
        <v>0</v>
      </c>
      <c r="F26" s="7" t="b">
        <v>0</v>
      </c>
      <c r="G26" s="7" t="b">
        <v>0</v>
      </c>
      <c r="H26" s="7" t="b">
        <v>0</v>
      </c>
      <c r="I26" s="7" t="b">
        <v>0</v>
      </c>
      <c r="J26" s="7" t="b">
        <v>0</v>
      </c>
      <c r="K26" s="7" t="b">
        <v>0</v>
      </c>
      <c r="L26" s="7" t="b">
        <v>0</v>
      </c>
      <c r="M26" s="7" t="b">
        <v>0</v>
      </c>
    </row>
    <row r="27" spans="2:13" x14ac:dyDescent="0.45">
      <c r="B27" s="2" t="s">
        <v>27</v>
      </c>
      <c r="C27" s="7" t="b">
        <v>1</v>
      </c>
      <c r="D27" s="7" t="b">
        <v>0</v>
      </c>
      <c r="E27" s="7" t="b">
        <v>0</v>
      </c>
      <c r="F27" s="7" t="b">
        <v>0</v>
      </c>
      <c r="G27" s="7" t="b">
        <v>0</v>
      </c>
      <c r="H27" s="7" t="b">
        <v>0</v>
      </c>
      <c r="I27" s="7" t="b">
        <v>0</v>
      </c>
      <c r="J27" s="7" t="b">
        <v>0</v>
      </c>
      <c r="K27" s="7" t="b">
        <v>0</v>
      </c>
      <c r="L27" s="7" t="b">
        <v>0</v>
      </c>
      <c r="M27" s="7" t="b">
        <v>0</v>
      </c>
    </row>
    <row r="28" spans="2:13" x14ac:dyDescent="0.45">
      <c r="B28" s="2" t="s">
        <v>28</v>
      </c>
      <c r="C28" s="7" t="b">
        <v>0</v>
      </c>
      <c r="D28" s="7" t="b">
        <v>1</v>
      </c>
      <c r="E28" s="7" t="b">
        <v>0</v>
      </c>
      <c r="F28" s="7" t="b">
        <v>0</v>
      </c>
      <c r="G28" s="7" t="b">
        <v>0</v>
      </c>
      <c r="H28" s="7" t="b">
        <v>0</v>
      </c>
      <c r="I28" s="7" t="b">
        <v>0</v>
      </c>
      <c r="J28" s="7" t="b">
        <v>0</v>
      </c>
      <c r="K28" s="7" t="b">
        <v>0</v>
      </c>
      <c r="L28" s="7" t="b">
        <v>0</v>
      </c>
      <c r="M28" s="7" t="b">
        <v>0</v>
      </c>
    </row>
    <row r="29" spans="2:13" x14ac:dyDescent="0.45">
      <c r="B29" s="2" t="s">
        <v>29</v>
      </c>
      <c r="C29" s="7" t="b">
        <v>1</v>
      </c>
      <c r="D29" s="7" t="b">
        <v>1</v>
      </c>
      <c r="E29" s="7" t="b">
        <v>0</v>
      </c>
      <c r="F29" s="7" t="b">
        <v>0</v>
      </c>
      <c r="G29" s="7" t="b">
        <v>0</v>
      </c>
      <c r="H29" s="7" t="b">
        <v>0</v>
      </c>
      <c r="I29" s="7" t="b">
        <v>0</v>
      </c>
      <c r="J29" s="7" t="b">
        <v>0</v>
      </c>
      <c r="K29" s="7" t="b">
        <v>0</v>
      </c>
      <c r="L29" s="7" t="b">
        <v>0</v>
      </c>
      <c r="M29" s="7" t="b">
        <v>0</v>
      </c>
    </row>
    <row r="30" spans="2:13" x14ac:dyDescent="0.45">
      <c r="B30" s="2"/>
      <c r="C30" s="7" t="b">
        <v>0</v>
      </c>
      <c r="D30" s="7" t="b">
        <v>0</v>
      </c>
      <c r="E30" s="7" t="b">
        <v>0</v>
      </c>
      <c r="F30" s="7" t="b">
        <v>0</v>
      </c>
      <c r="G30" s="7" t="b">
        <v>0</v>
      </c>
      <c r="H30" s="7" t="b">
        <v>0</v>
      </c>
      <c r="I30" s="7" t="b">
        <v>0</v>
      </c>
      <c r="J30" s="7" t="b">
        <v>0</v>
      </c>
      <c r="K30" s="7" t="b">
        <v>0</v>
      </c>
      <c r="L30" s="7" t="b">
        <v>0</v>
      </c>
      <c r="M30" s="7" t="b">
        <v>0</v>
      </c>
    </row>
    <row r="31" spans="2:13" x14ac:dyDescent="0.45">
      <c r="B31" s="2"/>
      <c r="C31" s="7" t="b">
        <v>0</v>
      </c>
      <c r="D31" s="7" t="b">
        <v>0</v>
      </c>
      <c r="E31" s="7" t="b">
        <v>0</v>
      </c>
      <c r="F31" s="7" t="b">
        <v>0</v>
      </c>
      <c r="G31" s="7" t="b">
        <v>0</v>
      </c>
      <c r="H31" s="7" t="b">
        <v>0</v>
      </c>
      <c r="I31" s="7" t="b">
        <v>0</v>
      </c>
      <c r="J31" s="7" t="b">
        <v>0</v>
      </c>
      <c r="K31" s="7" t="b">
        <v>0</v>
      </c>
      <c r="L31" s="7" t="b">
        <v>0</v>
      </c>
      <c r="M31" s="7" t="b">
        <v>0</v>
      </c>
    </row>
    <row r="32" spans="2:13" x14ac:dyDescent="0.45">
      <c r="B32" s="2"/>
      <c r="C32" s="7" t="b">
        <v>0</v>
      </c>
      <c r="D32" s="7" t="b">
        <v>0</v>
      </c>
      <c r="E32" s="7" t="b">
        <v>0</v>
      </c>
      <c r="F32" s="7" t="b">
        <v>0</v>
      </c>
      <c r="G32" s="7" t="b">
        <v>0</v>
      </c>
      <c r="H32" s="7" t="b">
        <v>0</v>
      </c>
      <c r="I32" s="7" t="b">
        <v>0</v>
      </c>
      <c r="J32" s="7" t="b">
        <v>0</v>
      </c>
      <c r="K32" s="7" t="b">
        <v>0</v>
      </c>
      <c r="L32" s="7" t="b">
        <v>0</v>
      </c>
      <c r="M32" s="7" t="b">
        <v>0</v>
      </c>
    </row>
    <row r="33" spans="2:13" x14ac:dyDescent="0.45">
      <c r="B33" s="2"/>
      <c r="C33" s="7" t="b">
        <v>0</v>
      </c>
      <c r="D33" s="7" t="b">
        <v>0</v>
      </c>
      <c r="E33" s="7" t="b">
        <v>0</v>
      </c>
      <c r="F33" s="7" t="b">
        <v>0</v>
      </c>
      <c r="G33" s="7" t="b">
        <v>0</v>
      </c>
      <c r="H33" s="7" t="b">
        <v>0</v>
      </c>
      <c r="I33" s="7" t="b">
        <v>0</v>
      </c>
      <c r="J33" s="7" t="b">
        <v>0</v>
      </c>
      <c r="K33" s="7" t="b">
        <v>0</v>
      </c>
      <c r="L33" s="7" t="b">
        <v>0</v>
      </c>
      <c r="M33" s="7" t="b">
        <v>0</v>
      </c>
    </row>
    <row r="34" spans="2:13" x14ac:dyDescent="0.45">
      <c r="B34" s="2"/>
      <c r="C34" s="7" t="b">
        <v>0</v>
      </c>
      <c r="D34" s="7" t="b">
        <v>0</v>
      </c>
      <c r="E34" s="7" t="b">
        <v>0</v>
      </c>
      <c r="F34" s="7" t="b">
        <v>0</v>
      </c>
      <c r="G34" s="7" t="b">
        <v>0</v>
      </c>
      <c r="H34" s="7" t="b">
        <v>0</v>
      </c>
      <c r="I34" s="7" t="b">
        <v>0</v>
      </c>
      <c r="J34" s="7" t="b">
        <v>0</v>
      </c>
      <c r="K34" s="7" t="b">
        <v>0</v>
      </c>
      <c r="L34" s="7" t="b">
        <v>0</v>
      </c>
      <c r="M34" s="7" t="b">
        <v>0</v>
      </c>
    </row>
    <row r="35" spans="2:13" x14ac:dyDescent="0.45">
      <c r="B35" s="2"/>
      <c r="C35" s="7" t="b">
        <v>0</v>
      </c>
      <c r="D35" s="7" t="b">
        <v>0</v>
      </c>
      <c r="E35" s="7" t="b">
        <v>0</v>
      </c>
      <c r="F35" s="7" t="b">
        <v>0</v>
      </c>
      <c r="G35" s="7" t="b">
        <v>0</v>
      </c>
      <c r="H35" s="7" t="b">
        <v>0</v>
      </c>
      <c r="I35" s="7" t="b">
        <v>0</v>
      </c>
      <c r="J35" s="7" t="b">
        <v>0</v>
      </c>
      <c r="K35" s="7" t="b">
        <v>0</v>
      </c>
      <c r="L35" s="7" t="b">
        <v>0</v>
      </c>
      <c r="M35" s="7" t="b">
        <v>0</v>
      </c>
    </row>
    <row r="36" spans="2:13" x14ac:dyDescent="0.45">
      <c r="B36" s="6" t="s">
        <v>9</v>
      </c>
      <c r="C36" s="2">
        <f>COUNTIF(C12:C35,TRUE)</f>
        <v>9</v>
      </c>
      <c r="D36" s="2">
        <f>COUNTIF(D12:D35,TRUE)</f>
        <v>5</v>
      </c>
      <c r="E36" s="2">
        <f t="shared" ref="E36:M36" si="0">COUNTIF(E12:E35,TRUE)</f>
        <v>0</v>
      </c>
      <c r="F36" s="2">
        <f t="shared" si="0"/>
        <v>0</v>
      </c>
      <c r="G36" s="2">
        <f t="shared" si="0"/>
        <v>0</v>
      </c>
      <c r="H36" s="2">
        <f t="shared" si="0"/>
        <v>0</v>
      </c>
      <c r="I36" s="2">
        <f t="shared" si="0"/>
        <v>0</v>
      </c>
      <c r="J36" s="2">
        <f t="shared" si="0"/>
        <v>0</v>
      </c>
      <c r="K36" s="2">
        <f t="shared" si="0"/>
        <v>0</v>
      </c>
      <c r="L36" s="2">
        <f t="shared" si="0"/>
        <v>0</v>
      </c>
      <c r="M36" s="2">
        <f t="shared" si="0"/>
        <v>0</v>
      </c>
    </row>
    <row r="37" spans="2:13" x14ac:dyDescent="0.45">
      <c r="B37" s="9" t="s">
        <v>30</v>
      </c>
      <c r="C37" s="2">
        <f>C36*3+3</f>
        <v>30</v>
      </c>
      <c r="D37" s="2">
        <f t="shared" ref="D37:M37" si="1">D36*3</f>
        <v>15</v>
      </c>
      <c r="E37" s="2">
        <f t="shared" si="1"/>
        <v>0</v>
      </c>
      <c r="F37" s="2">
        <f t="shared" si="1"/>
        <v>0</v>
      </c>
      <c r="G37" s="2">
        <f t="shared" si="1"/>
        <v>0</v>
      </c>
      <c r="H37" s="2">
        <f t="shared" si="1"/>
        <v>0</v>
      </c>
      <c r="I37" s="2">
        <f t="shared" si="1"/>
        <v>0</v>
      </c>
      <c r="J37" s="2">
        <f t="shared" si="1"/>
        <v>0</v>
      </c>
      <c r="K37" s="2">
        <f t="shared" si="1"/>
        <v>0</v>
      </c>
      <c r="L37" s="2">
        <f t="shared" si="1"/>
        <v>0</v>
      </c>
      <c r="M37" s="2">
        <f t="shared" si="1"/>
        <v>0</v>
      </c>
    </row>
    <row r="38" spans="2:13" x14ac:dyDescent="0.45">
      <c r="B38" s="10" t="s">
        <v>31</v>
      </c>
      <c r="C38" s="5">
        <f>C37-C43</f>
        <v>1.4699999999999989</v>
      </c>
      <c r="D38" s="5">
        <f t="shared" ref="D38:M38" si="2">D37-D43</f>
        <v>5.49</v>
      </c>
      <c r="E38" s="5">
        <f t="shared" si="2"/>
        <v>0</v>
      </c>
      <c r="F38" s="5">
        <f t="shared" si="2"/>
        <v>0</v>
      </c>
      <c r="G38" s="5">
        <f t="shared" si="2"/>
        <v>0</v>
      </c>
      <c r="H38" s="5">
        <f t="shared" si="2"/>
        <v>0</v>
      </c>
      <c r="I38" s="5">
        <f t="shared" si="2"/>
        <v>0</v>
      </c>
      <c r="J38" s="5">
        <f t="shared" si="2"/>
        <v>0</v>
      </c>
      <c r="K38" s="5">
        <f t="shared" si="2"/>
        <v>0</v>
      </c>
      <c r="L38" s="5">
        <f t="shared" si="2"/>
        <v>0</v>
      </c>
      <c r="M38" s="5">
        <f t="shared" si="2"/>
        <v>0</v>
      </c>
    </row>
    <row r="40" spans="2:13" x14ac:dyDescent="0.45">
      <c r="C40" s="1" t="s">
        <v>32</v>
      </c>
      <c r="D40" s="1" t="s">
        <v>32</v>
      </c>
      <c r="E40" s="1" t="s">
        <v>32</v>
      </c>
      <c r="F40" s="1" t="s">
        <v>32</v>
      </c>
      <c r="G40" s="1" t="s">
        <v>32</v>
      </c>
      <c r="H40" s="1" t="s">
        <v>32</v>
      </c>
      <c r="I40" s="1" t="s">
        <v>32</v>
      </c>
      <c r="J40" s="1" t="s">
        <v>32</v>
      </c>
      <c r="K40" s="1" t="s">
        <v>32</v>
      </c>
      <c r="L40" s="1" t="s">
        <v>32</v>
      </c>
      <c r="M40" s="1" t="s">
        <v>32</v>
      </c>
    </row>
    <row r="41" spans="2:13" x14ac:dyDescent="0.45">
      <c r="C41" s="2">
        <v>3</v>
      </c>
      <c r="D41" s="2">
        <f>D36/5</f>
        <v>1</v>
      </c>
      <c r="E41" s="2">
        <f t="shared" ref="E41:L41" si="3">E36/5</f>
        <v>0</v>
      </c>
      <c r="F41" s="2">
        <f t="shared" si="3"/>
        <v>0</v>
      </c>
      <c r="G41" s="2">
        <f t="shared" si="3"/>
        <v>0</v>
      </c>
      <c r="H41" s="2">
        <f t="shared" si="3"/>
        <v>0</v>
      </c>
      <c r="I41" s="2">
        <f t="shared" si="3"/>
        <v>0</v>
      </c>
      <c r="J41" s="2">
        <f t="shared" si="3"/>
        <v>0</v>
      </c>
      <c r="K41" s="2">
        <f t="shared" si="3"/>
        <v>0</v>
      </c>
      <c r="L41" s="2">
        <f t="shared" si="3"/>
        <v>0</v>
      </c>
      <c r="M41" s="2">
        <f>M36/5</f>
        <v>0</v>
      </c>
    </row>
    <row r="42" spans="2:13" x14ac:dyDescent="0.45">
      <c r="C42" s="1" t="s">
        <v>9</v>
      </c>
      <c r="D42" s="1" t="s">
        <v>9</v>
      </c>
      <c r="E42" s="1" t="s">
        <v>9</v>
      </c>
      <c r="F42" s="1" t="s">
        <v>9</v>
      </c>
      <c r="G42" s="1" t="s">
        <v>9</v>
      </c>
      <c r="H42" s="1" t="s">
        <v>9</v>
      </c>
      <c r="I42" s="1" t="s">
        <v>9</v>
      </c>
      <c r="J42" s="1" t="s">
        <v>9</v>
      </c>
      <c r="K42" s="1" t="s">
        <v>9</v>
      </c>
      <c r="L42" s="1" t="s">
        <v>9</v>
      </c>
      <c r="M42" s="1" t="s">
        <v>9</v>
      </c>
    </row>
    <row r="43" spans="2:13" x14ac:dyDescent="0.45">
      <c r="C43" s="3">
        <f>C41*$F$3</f>
        <v>28.53</v>
      </c>
      <c r="D43" s="3">
        <f t="shared" ref="D43:M43" si="4">D41*$F$3</f>
        <v>9.51</v>
      </c>
      <c r="E43" s="3">
        <f t="shared" si="4"/>
        <v>0</v>
      </c>
      <c r="F43" s="3">
        <f t="shared" si="4"/>
        <v>0</v>
      </c>
      <c r="G43" s="3">
        <f t="shared" si="4"/>
        <v>0</v>
      </c>
      <c r="H43" s="3">
        <f t="shared" si="4"/>
        <v>0</v>
      </c>
      <c r="I43" s="3">
        <f t="shared" si="4"/>
        <v>0</v>
      </c>
      <c r="J43" s="3">
        <f t="shared" si="4"/>
        <v>0</v>
      </c>
      <c r="K43" s="3">
        <f t="shared" si="4"/>
        <v>0</v>
      </c>
      <c r="L43" s="3">
        <f t="shared" si="4"/>
        <v>0</v>
      </c>
      <c r="M43" s="3">
        <f t="shared" si="4"/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C82F-6D99-CD4A-9EF2-B7860CE458BB}">
  <dimension ref="A2:P59"/>
  <sheetViews>
    <sheetView topLeftCell="A29" zoomScaleNormal="150" zoomScaleSheetLayoutView="100" workbookViewId="0">
      <selection activeCell="A19" sqref="A19"/>
    </sheetView>
  </sheetViews>
  <sheetFormatPr baseColWidth="10" defaultColWidth="8.59765625" defaultRowHeight="14.25" x14ac:dyDescent="0.45"/>
  <cols>
    <col min="1" max="1" width="2.6640625" style="4" customWidth="1"/>
    <col min="2" max="2" width="16.9296875" style="4" customWidth="1"/>
    <col min="3" max="3" width="15.46484375" style="4" customWidth="1"/>
    <col min="4" max="4" width="15.86328125" style="4" customWidth="1"/>
    <col min="5" max="5" width="8.59765625" style="4"/>
    <col min="6" max="6" width="10.86328125" style="4" bestFit="1" customWidth="1"/>
    <col min="7" max="7" width="7.6640625" style="4" customWidth="1"/>
    <col min="8" max="9" width="16.6640625" style="4" customWidth="1"/>
    <col min="10" max="10" width="14.53125" style="4" customWidth="1"/>
    <col min="11" max="11" width="16.6640625" style="4" customWidth="1"/>
    <col min="12" max="12" width="13.86328125" style="4" customWidth="1"/>
    <col min="13" max="13" width="8.59765625" style="4"/>
    <col min="14" max="15" width="10.86328125" style="4" bestFit="1" customWidth="1"/>
    <col min="16" max="16384" width="8.59765625" style="4"/>
  </cols>
  <sheetData>
    <row r="2" spans="2:15" x14ac:dyDescent="0.45">
      <c r="B2" s="16" t="s">
        <v>0</v>
      </c>
      <c r="C2" s="16" t="s">
        <v>4</v>
      </c>
      <c r="D2" s="16" t="s">
        <v>1</v>
      </c>
      <c r="H2" s="15" t="s">
        <v>9</v>
      </c>
      <c r="I2" s="15" t="s">
        <v>44</v>
      </c>
    </row>
    <row r="3" spans="2:15" x14ac:dyDescent="0.45">
      <c r="B3" s="17" t="s">
        <v>35</v>
      </c>
      <c r="C3" s="17">
        <v>500</v>
      </c>
      <c r="D3" s="31">
        <v>4.8899999999999997</v>
      </c>
      <c r="H3" s="35" cm="1">
        <f t="array" ref="H3">SUM(D3:D5*2,D6,D8)</f>
        <v>17.189999999999998</v>
      </c>
      <c r="I3" s="19">
        <v>12</v>
      </c>
    </row>
    <row r="4" spans="2:15" x14ac:dyDescent="0.45">
      <c r="B4" s="18" t="s">
        <v>40</v>
      </c>
      <c r="C4" s="18">
        <v>80</v>
      </c>
      <c r="D4" s="32">
        <v>1.01</v>
      </c>
    </row>
    <row r="5" spans="2:15" x14ac:dyDescent="0.45">
      <c r="B5" s="19" t="s">
        <v>3</v>
      </c>
      <c r="C5" s="19">
        <v>2</v>
      </c>
      <c r="D5" s="33">
        <v>0.3</v>
      </c>
      <c r="H5" s="15" t="s">
        <v>44</v>
      </c>
      <c r="I5" s="15" t="s">
        <v>9</v>
      </c>
      <c r="J5" s="15" t="s">
        <v>30</v>
      </c>
      <c r="K5" s="16" t="s">
        <v>31</v>
      </c>
      <c r="L5" s="16" t="s">
        <v>39</v>
      </c>
    </row>
    <row r="6" spans="2:15" x14ac:dyDescent="0.45">
      <c r="B6" s="20" t="s">
        <v>41</v>
      </c>
      <c r="C6" s="20">
        <v>400</v>
      </c>
      <c r="D6" s="34">
        <v>1.8</v>
      </c>
      <c r="H6" s="20">
        <v>18</v>
      </c>
      <c r="I6" s="36">
        <f>ROUNDUP(H6/I3,2)*H3</f>
        <v>25.784999999999997</v>
      </c>
      <c r="J6" s="20">
        <f>H6*L6</f>
        <v>54</v>
      </c>
      <c r="K6" s="36">
        <f>J6-I6</f>
        <v>28.215000000000003</v>
      </c>
      <c r="L6" s="20">
        <v>3</v>
      </c>
    </row>
    <row r="7" spans="2:15" x14ac:dyDescent="0.45">
      <c r="B7" s="19" t="s">
        <v>42</v>
      </c>
      <c r="C7" s="19">
        <v>150</v>
      </c>
      <c r="D7" s="33"/>
    </row>
    <row r="8" spans="2:15" x14ac:dyDescent="0.45">
      <c r="B8" s="20" t="s">
        <v>43</v>
      </c>
      <c r="C8" s="20">
        <v>12</v>
      </c>
      <c r="D8" s="34">
        <v>2.99</v>
      </c>
    </row>
    <row r="9" spans="2:15" x14ac:dyDescent="0.45">
      <c r="B9" s="19"/>
      <c r="C9" s="19"/>
      <c r="D9" s="19"/>
    </row>
    <row r="10" spans="2:15" x14ac:dyDescent="0.45">
      <c r="B10" s="20"/>
      <c r="C10" s="20"/>
      <c r="D10" s="34"/>
    </row>
    <row r="13" spans="2:15" x14ac:dyDescent="0.45">
      <c r="B13" s="15" t="s">
        <v>11</v>
      </c>
      <c r="C13" s="21" t="b">
        <v>1</v>
      </c>
      <c r="D13" s="21" t="b">
        <v>1</v>
      </c>
      <c r="E13" s="21" t="b">
        <v>1</v>
      </c>
      <c r="F13" s="21" t="b">
        <v>1</v>
      </c>
      <c r="G13" s="21" t="b">
        <v>1</v>
      </c>
      <c r="H13" s="21" t="b">
        <v>1</v>
      </c>
      <c r="I13" s="21" t="b">
        <v>1</v>
      </c>
      <c r="J13" s="21" t="b">
        <v>1</v>
      </c>
      <c r="K13" s="21" t="b">
        <v>1</v>
      </c>
      <c r="L13" s="21" t="b">
        <v>1</v>
      </c>
      <c r="M13" s="21" t="b">
        <v>1</v>
      </c>
      <c r="N13" s="21" t="b">
        <v>1</v>
      </c>
    </row>
    <row r="14" spans="2:15" x14ac:dyDescent="0.45">
      <c r="B14" s="22" t="s">
        <v>12</v>
      </c>
      <c r="C14" s="29" t="b">
        <v>0</v>
      </c>
      <c r="D14" s="29" t="b">
        <v>0</v>
      </c>
      <c r="E14" s="29" t="b">
        <v>0</v>
      </c>
      <c r="F14" s="29" t="b">
        <v>0</v>
      </c>
      <c r="G14" s="29" t="b">
        <v>0</v>
      </c>
      <c r="H14" s="29" t="b">
        <v>0</v>
      </c>
      <c r="I14" s="29" t="b">
        <v>0</v>
      </c>
      <c r="J14" s="29" t="b">
        <v>0</v>
      </c>
      <c r="K14" s="29" t="b">
        <v>0</v>
      </c>
      <c r="L14" s="29" t="b">
        <v>0</v>
      </c>
      <c r="M14" s="29" t="b">
        <v>0</v>
      </c>
      <c r="N14" s="29" t="b">
        <v>0</v>
      </c>
      <c r="O14" s="44" t="b">
        <v>0</v>
      </c>
    </row>
    <row r="15" spans="2:15" x14ac:dyDescent="0.45">
      <c r="B15" s="22" t="s">
        <v>13</v>
      </c>
      <c r="C15" s="30" t="b">
        <v>1</v>
      </c>
      <c r="D15" s="30" t="b">
        <v>0</v>
      </c>
      <c r="E15" s="30" t="b">
        <v>0</v>
      </c>
      <c r="F15" s="30" t="b">
        <v>0</v>
      </c>
      <c r="G15" s="30" t="b">
        <v>0</v>
      </c>
      <c r="H15" s="30" t="b">
        <v>0</v>
      </c>
      <c r="I15" s="30" t="b">
        <v>0</v>
      </c>
      <c r="J15" s="30" t="b">
        <v>0</v>
      </c>
      <c r="K15" s="30" t="b">
        <v>0</v>
      </c>
      <c r="L15" s="30" t="b">
        <v>0</v>
      </c>
      <c r="M15" s="30" t="b">
        <v>0</v>
      </c>
      <c r="N15" s="30" t="b">
        <v>0</v>
      </c>
      <c r="O15" s="45" t="b">
        <v>0</v>
      </c>
    </row>
    <row r="16" spans="2:15" x14ac:dyDescent="0.45">
      <c r="B16" s="22" t="s">
        <v>14</v>
      </c>
      <c r="C16" s="29" t="b">
        <v>0</v>
      </c>
      <c r="D16" s="29" t="b">
        <v>0</v>
      </c>
      <c r="E16" s="29" t="b">
        <v>0</v>
      </c>
      <c r="F16" s="29" t="b">
        <v>0</v>
      </c>
      <c r="G16" s="29" t="b">
        <v>0</v>
      </c>
      <c r="H16" s="29" t="b">
        <v>0</v>
      </c>
      <c r="I16" s="29" t="b">
        <v>0</v>
      </c>
      <c r="J16" s="29" t="b">
        <v>0</v>
      </c>
      <c r="K16" s="29" t="b">
        <v>0</v>
      </c>
      <c r="L16" s="29" t="b">
        <v>0</v>
      </c>
      <c r="M16" s="29" t="b">
        <v>0</v>
      </c>
      <c r="N16" s="29" t="b">
        <v>0</v>
      </c>
      <c r="O16" s="45" t="b">
        <v>0</v>
      </c>
    </row>
    <row r="17" spans="2:16" x14ac:dyDescent="0.45">
      <c r="B17" s="22" t="s">
        <v>15</v>
      </c>
      <c r="C17" s="30" t="b">
        <v>0</v>
      </c>
      <c r="D17" s="30" t="b">
        <v>1</v>
      </c>
      <c r="E17" s="30" t="b">
        <v>0</v>
      </c>
      <c r="F17" s="30" t="b">
        <v>0</v>
      </c>
      <c r="G17" s="30" t="b">
        <v>0</v>
      </c>
      <c r="H17" s="30" t="b">
        <v>0</v>
      </c>
      <c r="I17" s="30" t="b">
        <v>0</v>
      </c>
      <c r="J17" s="30" t="b">
        <v>0</v>
      </c>
      <c r="K17" s="30" t="b">
        <v>0</v>
      </c>
      <c r="L17" s="30" t="b">
        <v>0</v>
      </c>
      <c r="M17" s="30" t="b">
        <v>0</v>
      </c>
      <c r="N17" s="30" t="b">
        <v>0</v>
      </c>
      <c r="O17" s="45" t="b">
        <v>1</v>
      </c>
    </row>
    <row r="18" spans="2:16" x14ac:dyDescent="0.45">
      <c r="B18" s="22" t="s">
        <v>16</v>
      </c>
      <c r="C18" s="29" t="b">
        <v>1</v>
      </c>
      <c r="D18" s="29" t="b">
        <v>1</v>
      </c>
      <c r="E18" s="29" t="b">
        <v>0</v>
      </c>
      <c r="F18" s="29" t="b">
        <v>0</v>
      </c>
      <c r="G18" s="29" t="b">
        <v>0</v>
      </c>
      <c r="H18" s="29" t="b">
        <v>0</v>
      </c>
      <c r="I18" s="29" t="b">
        <v>0</v>
      </c>
      <c r="J18" s="29" t="b">
        <v>0</v>
      </c>
      <c r="K18" s="29" t="b">
        <v>0</v>
      </c>
      <c r="L18" s="29" t="b">
        <v>0</v>
      </c>
      <c r="M18" s="29" t="b">
        <v>0</v>
      </c>
      <c r="N18" s="29" t="b">
        <v>0</v>
      </c>
      <c r="O18" s="45" t="b">
        <v>1</v>
      </c>
    </row>
    <row r="19" spans="2:16" x14ac:dyDescent="0.45">
      <c r="B19" s="22" t="s">
        <v>17</v>
      </c>
      <c r="C19" s="30" t="b">
        <v>1</v>
      </c>
      <c r="D19" s="30" t="b">
        <v>1</v>
      </c>
      <c r="E19" s="30" t="b">
        <v>0</v>
      </c>
      <c r="F19" s="30" t="b">
        <v>0</v>
      </c>
      <c r="G19" s="30" t="b">
        <v>0</v>
      </c>
      <c r="H19" s="30" t="b">
        <v>0</v>
      </c>
      <c r="I19" s="30" t="b">
        <v>0</v>
      </c>
      <c r="J19" s="30" t="b">
        <v>0</v>
      </c>
      <c r="K19" s="30" t="b">
        <v>0</v>
      </c>
      <c r="L19" s="30" t="b">
        <v>0</v>
      </c>
      <c r="M19" s="30" t="b">
        <v>0</v>
      </c>
      <c r="N19" s="30" t="b">
        <v>0</v>
      </c>
      <c r="O19" s="45" t="b">
        <v>1</v>
      </c>
    </row>
    <row r="20" spans="2:16" x14ac:dyDescent="0.45">
      <c r="B20" s="22" t="s">
        <v>18</v>
      </c>
      <c r="C20" s="29" t="b">
        <v>0</v>
      </c>
      <c r="D20" s="29" t="b">
        <v>1</v>
      </c>
      <c r="E20" s="29" t="b">
        <v>0</v>
      </c>
      <c r="F20" s="29" t="b">
        <v>0</v>
      </c>
      <c r="G20" s="29" t="b">
        <v>0</v>
      </c>
      <c r="H20" s="29" t="b">
        <v>0</v>
      </c>
      <c r="I20" s="29" t="b">
        <v>0</v>
      </c>
      <c r="J20" s="29" t="b">
        <v>0</v>
      </c>
      <c r="K20" s="29" t="b">
        <v>0</v>
      </c>
      <c r="L20" s="29" t="b">
        <v>0</v>
      </c>
      <c r="M20" s="29" t="b">
        <v>0</v>
      </c>
      <c r="N20" s="29" t="b">
        <v>0</v>
      </c>
      <c r="O20" s="45" t="b">
        <v>1</v>
      </c>
    </row>
    <row r="21" spans="2:16" x14ac:dyDescent="0.45">
      <c r="B21" s="22" t="s">
        <v>19</v>
      </c>
      <c r="C21" s="30" t="b">
        <v>1</v>
      </c>
      <c r="D21" s="30" t="b">
        <v>0</v>
      </c>
      <c r="E21" s="30" t="b">
        <v>0</v>
      </c>
      <c r="F21" s="30" t="b">
        <v>0</v>
      </c>
      <c r="G21" s="30" t="b">
        <v>0</v>
      </c>
      <c r="H21" s="30" t="b">
        <v>0</v>
      </c>
      <c r="I21" s="30" t="b">
        <v>0</v>
      </c>
      <c r="J21" s="30" t="b">
        <v>0</v>
      </c>
      <c r="K21" s="30" t="b">
        <v>0</v>
      </c>
      <c r="L21" s="30" t="b">
        <v>0</v>
      </c>
      <c r="M21" s="30" t="b">
        <v>0</v>
      </c>
      <c r="N21" s="30" t="b">
        <v>0</v>
      </c>
      <c r="O21" s="45" t="b">
        <v>0</v>
      </c>
    </row>
    <row r="22" spans="2:16" x14ac:dyDescent="0.45">
      <c r="B22" s="22" t="s">
        <v>20</v>
      </c>
      <c r="C22" s="29" t="b">
        <v>1</v>
      </c>
      <c r="D22" s="29" t="b">
        <v>1</v>
      </c>
      <c r="E22" s="29" t="b">
        <v>0</v>
      </c>
      <c r="F22" s="29" t="b">
        <v>0</v>
      </c>
      <c r="G22" s="29" t="b">
        <v>0</v>
      </c>
      <c r="H22" s="29" t="b">
        <v>0</v>
      </c>
      <c r="I22" s="29" t="b">
        <v>0</v>
      </c>
      <c r="J22" s="29" t="b">
        <v>0</v>
      </c>
      <c r="K22" s="29" t="b">
        <v>0</v>
      </c>
      <c r="L22" s="29" t="b">
        <v>0</v>
      </c>
      <c r="M22" s="29" t="b">
        <v>0</v>
      </c>
      <c r="N22" s="29" t="b">
        <v>0</v>
      </c>
      <c r="O22" s="45" t="b">
        <v>1</v>
      </c>
    </row>
    <row r="23" spans="2:16" x14ac:dyDescent="0.45">
      <c r="B23" s="22" t="s">
        <v>21</v>
      </c>
      <c r="C23" s="30" t="b">
        <v>1</v>
      </c>
      <c r="D23" s="30" t="b">
        <v>1</v>
      </c>
      <c r="E23" s="30" t="b">
        <v>0</v>
      </c>
      <c r="F23" s="30" t="b">
        <v>0</v>
      </c>
      <c r="G23" s="30" t="b">
        <v>0</v>
      </c>
      <c r="H23" s="30" t="b">
        <v>0</v>
      </c>
      <c r="I23" s="30" t="b">
        <v>0</v>
      </c>
      <c r="J23" s="30" t="b">
        <v>0</v>
      </c>
      <c r="K23" s="30" t="b">
        <v>0</v>
      </c>
      <c r="L23" s="30" t="b">
        <v>0</v>
      </c>
      <c r="M23" s="30" t="b">
        <v>0</v>
      </c>
      <c r="N23" s="30" t="b">
        <v>0</v>
      </c>
      <c r="O23" s="45" t="b">
        <v>1</v>
      </c>
      <c r="P23" s="4" t="s">
        <v>74</v>
      </c>
    </row>
    <row r="24" spans="2:16" x14ac:dyDescent="0.45">
      <c r="B24" s="22" t="s">
        <v>22</v>
      </c>
      <c r="C24" s="29" t="b">
        <v>0</v>
      </c>
      <c r="D24" s="29" t="b">
        <v>1</v>
      </c>
      <c r="E24" s="29" t="b">
        <v>0</v>
      </c>
      <c r="F24" s="29" t="b">
        <v>0</v>
      </c>
      <c r="G24" s="29" t="b">
        <v>0</v>
      </c>
      <c r="H24" s="29" t="b">
        <v>0</v>
      </c>
      <c r="I24" s="29" t="b">
        <v>0</v>
      </c>
      <c r="J24" s="29" t="b">
        <v>0</v>
      </c>
      <c r="K24" s="29" t="b">
        <v>0</v>
      </c>
      <c r="L24" s="29" t="b">
        <v>0</v>
      </c>
      <c r="M24" s="29" t="b">
        <v>0</v>
      </c>
      <c r="N24" s="29" t="b">
        <v>0</v>
      </c>
      <c r="O24" s="45" t="b">
        <v>1</v>
      </c>
    </row>
    <row r="25" spans="2:16" x14ac:dyDescent="0.45">
      <c r="B25" s="22" t="s">
        <v>23</v>
      </c>
      <c r="C25" s="30" t="b">
        <v>0</v>
      </c>
      <c r="D25" s="30" t="b">
        <v>1</v>
      </c>
      <c r="E25" s="30" t="b">
        <v>0</v>
      </c>
      <c r="F25" s="30" t="b">
        <v>0</v>
      </c>
      <c r="G25" s="30" t="b">
        <v>0</v>
      </c>
      <c r="H25" s="30" t="b">
        <v>0</v>
      </c>
      <c r="I25" s="30" t="b">
        <v>0</v>
      </c>
      <c r="J25" s="30" t="b">
        <v>0</v>
      </c>
      <c r="K25" s="30" t="b">
        <v>0</v>
      </c>
      <c r="L25" s="30" t="b">
        <v>0</v>
      </c>
      <c r="M25" s="30" t="b">
        <v>0</v>
      </c>
      <c r="N25" s="30" t="b">
        <v>0</v>
      </c>
      <c r="O25" s="45" t="b">
        <v>1</v>
      </c>
    </row>
    <row r="26" spans="2:16" x14ac:dyDescent="0.45">
      <c r="B26" s="22" t="s">
        <v>24</v>
      </c>
      <c r="C26" s="29" t="b">
        <v>0</v>
      </c>
      <c r="D26" s="29" t="b">
        <v>0</v>
      </c>
      <c r="E26" s="29" t="b">
        <v>0</v>
      </c>
      <c r="F26" s="29" t="b">
        <v>0</v>
      </c>
      <c r="G26" s="29" t="b">
        <v>0</v>
      </c>
      <c r="H26" s="29" t="b">
        <v>0</v>
      </c>
      <c r="I26" s="29" t="b">
        <v>0</v>
      </c>
      <c r="J26" s="29" t="b">
        <v>0</v>
      </c>
      <c r="K26" s="29" t="b">
        <v>0</v>
      </c>
      <c r="L26" s="29" t="b">
        <v>0</v>
      </c>
      <c r="M26" s="29" t="b">
        <v>0</v>
      </c>
      <c r="N26" s="29" t="b">
        <v>0</v>
      </c>
      <c r="O26" s="45" t="b">
        <v>0</v>
      </c>
    </row>
    <row r="27" spans="2:16" x14ac:dyDescent="0.45">
      <c r="B27" s="22" t="s">
        <v>25</v>
      </c>
      <c r="C27" s="30" t="b">
        <v>0</v>
      </c>
      <c r="D27" s="30" t="b">
        <v>0</v>
      </c>
      <c r="E27" s="30" t="b">
        <v>0</v>
      </c>
      <c r="F27" s="30" t="b">
        <v>0</v>
      </c>
      <c r="G27" s="30" t="b">
        <v>0</v>
      </c>
      <c r="H27" s="30" t="b">
        <v>0</v>
      </c>
      <c r="I27" s="30" t="b">
        <v>0</v>
      </c>
      <c r="J27" s="30" t="b">
        <v>0</v>
      </c>
      <c r="K27" s="30" t="b">
        <v>0</v>
      </c>
      <c r="L27" s="30" t="b">
        <v>0</v>
      </c>
      <c r="M27" s="30" t="b">
        <v>0</v>
      </c>
      <c r="N27" s="30" t="b">
        <v>0</v>
      </c>
      <c r="O27" s="45" t="b">
        <v>0</v>
      </c>
    </row>
    <row r="28" spans="2:16" x14ac:dyDescent="0.45">
      <c r="B28" s="22" t="s">
        <v>26</v>
      </c>
      <c r="C28" s="29" t="b">
        <v>0</v>
      </c>
      <c r="D28" s="29" t="b">
        <v>0</v>
      </c>
      <c r="E28" s="29" t="b">
        <v>0</v>
      </c>
      <c r="F28" s="29" t="b">
        <v>0</v>
      </c>
      <c r="G28" s="29" t="b">
        <v>0</v>
      </c>
      <c r="H28" s="29" t="b">
        <v>0</v>
      </c>
      <c r="I28" s="29" t="b">
        <v>0</v>
      </c>
      <c r="J28" s="29" t="b">
        <v>0</v>
      </c>
      <c r="K28" s="29" t="b">
        <v>0</v>
      </c>
      <c r="L28" s="29" t="b">
        <v>0</v>
      </c>
      <c r="M28" s="29" t="b">
        <v>0</v>
      </c>
      <c r="N28" s="29" t="b">
        <v>0</v>
      </c>
      <c r="O28" s="45" t="b">
        <v>0</v>
      </c>
    </row>
    <row r="29" spans="2:16" x14ac:dyDescent="0.45">
      <c r="B29" s="22" t="s">
        <v>27</v>
      </c>
      <c r="C29" s="30" t="b">
        <v>0</v>
      </c>
      <c r="D29" s="30" t="b">
        <v>0</v>
      </c>
      <c r="E29" s="30" t="b">
        <v>0</v>
      </c>
      <c r="F29" s="30" t="b">
        <v>0</v>
      </c>
      <c r="G29" s="30" t="b">
        <v>0</v>
      </c>
      <c r="H29" s="30" t="b">
        <v>0</v>
      </c>
      <c r="I29" s="30" t="b">
        <v>0</v>
      </c>
      <c r="J29" s="30" t="b">
        <v>0</v>
      </c>
      <c r="K29" s="30" t="b">
        <v>0</v>
      </c>
      <c r="L29" s="30" t="b">
        <v>0</v>
      </c>
      <c r="M29" s="30" t="b">
        <v>0</v>
      </c>
      <c r="N29" s="30" t="b">
        <v>0</v>
      </c>
      <c r="O29" s="45" t="b">
        <v>0</v>
      </c>
    </row>
    <row r="30" spans="2:16" x14ac:dyDescent="0.45">
      <c r="B30" s="22" t="s">
        <v>28</v>
      </c>
      <c r="C30" s="29" t="b">
        <v>0</v>
      </c>
      <c r="D30" s="29" t="b">
        <v>0</v>
      </c>
      <c r="E30" s="29" t="b">
        <v>0</v>
      </c>
      <c r="F30" s="29" t="b">
        <v>0</v>
      </c>
      <c r="G30" s="29" t="b">
        <v>0</v>
      </c>
      <c r="H30" s="29" t="b">
        <v>0</v>
      </c>
      <c r="I30" s="29" t="b">
        <v>0</v>
      </c>
      <c r="J30" s="29" t="b">
        <v>0</v>
      </c>
      <c r="K30" s="29" t="b">
        <v>0</v>
      </c>
      <c r="L30" s="29" t="b">
        <v>0</v>
      </c>
      <c r="M30" s="29" t="b">
        <v>0</v>
      </c>
      <c r="N30" s="29" t="b">
        <v>0</v>
      </c>
      <c r="O30" s="45" t="b">
        <v>0</v>
      </c>
    </row>
    <row r="31" spans="2:16" x14ac:dyDescent="0.45">
      <c r="B31" s="22" t="s">
        <v>29</v>
      </c>
      <c r="C31" s="30" t="b">
        <v>1</v>
      </c>
      <c r="D31" s="30" t="b">
        <v>1</v>
      </c>
      <c r="E31" s="30" t="b">
        <v>0</v>
      </c>
      <c r="F31" s="30" t="b">
        <v>0</v>
      </c>
      <c r="G31" s="30" t="b">
        <v>0</v>
      </c>
      <c r="H31" s="30" t="b">
        <v>0</v>
      </c>
      <c r="I31" s="30" t="b">
        <v>0</v>
      </c>
      <c r="J31" s="30" t="b">
        <v>0</v>
      </c>
      <c r="K31" s="30" t="b">
        <v>0</v>
      </c>
      <c r="L31" s="30" t="b">
        <v>0</v>
      </c>
      <c r="M31" s="30" t="b">
        <v>0</v>
      </c>
      <c r="N31" s="30" t="b">
        <v>0</v>
      </c>
      <c r="O31" s="45" t="b">
        <v>1</v>
      </c>
    </row>
    <row r="32" spans="2:16" x14ac:dyDescent="0.45">
      <c r="B32" s="22" t="s">
        <v>45</v>
      </c>
      <c r="C32" s="29" t="b">
        <v>1</v>
      </c>
      <c r="D32" s="29" t="b">
        <v>0</v>
      </c>
      <c r="E32" s="29" t="b">
        <v>0</v>
      </c>
      <c r="F32" s="29" t="b">
        <v>0</v>
      </c>
      <c r="G32" s="29" t="b">
        <v>0</v>
      </c>
      <c r="H32" s="29" t="b">
        <v>0</v>
      </c>
      <c r="I32" s="29" t="b">
        <v>0</v>
      </c>
      <c r="J32" s="29" t="b">
        <v>0</v>
      </c>
      <c r="K32" s="29" t="b">
        <v>0</v>
      </c>
      <c r="L32" s="29" t="b">
        <v>0</v>
      </c>
      <c r="M32" s="29" t="b">
        <v>0</v>
      </c>
      <c r="N32" s="29" t="b">
        <v>0</v>
      </c>
      <c r="O32" s="45" t="b">
        <v>0</v>
      </c>
    </row>
    <row r="33" spans="1:15" x14ac:dyDescent="0.45">
      <c r="B33" s="22" t="s">
        <v>46</v>
      </c>
      <c r="C33" s="30" t="b">
        <v>1</v>
      </c>
      <c r="D33" s="30" t="b">
        <v>0</v>
      </c>
      <c r="E33" s="30" t="b">
        <v>0</v>
      </c>
      <c r="F33" s="30" t="b">
        <v>0</v>
      </c>
      <c r="G33" s="30" t="b">
        <v>0</v>
      </c>
      <c r="H33" s="30" t="b">
        <v>0</v>
      </c>
      <c r="I33" s="30" t="b">
        <v>0</v>
      </c>
      <c r="J33" s="30" t="b">
        <v>0</v>
      </c>
      <c r="K33" s="30" t="b">
        <v>0</v>
      </c>
      <c r="L33" s="30" t="b">
        <v>0</v>
      </c>
      <c r="M33" s="30" t="b">
        <v>0</v>
      </c>
      <c r="N33" s="30" t="b">
        <v>0</v>
      </c>
      <c r="O33" s="45" t="b">
        <v>0</v>
      </c>
    </row>
    <row r="34" spans="1:15" x14ac:dyDescent="0.45">
      <c r="B34" s="22" t="s">
        <v>47</v>
      </c>
      <c r="C34" s="29" t="b">
        <v>1</v>
      </c>
      <c r="D34" s="29" t="b">
        <v>0</v>
      </c>
      <c r="E34" s="29" t="b">
        <v>0</v>
      </c>
      <c r="F34" s="29" t="b">
        <v>0</v>
      </c>
      <c r="G34" s="29" t="b">
        <v>0</v>
      </c>
      <c r="H34" s="29" t="b">
        <v>0</v>
      </c>
      <c r="I34" s="29" t="b">
        <v>0</v>
      </c>
      <c r="J34" s="29" t="b">
        <v>0</v>
      </c>
      <c r="K34" s="29" t="b">
        <v>0</v>
      </c>
      <c r="L34" s="29" t="b">
        <v>0</v>
      </c>
      <c r="M34" s="29" t="b">
        <v>0</v>
      </c>
      <c r="N34" s="29" t="b">
        <v>0</v>
      </c>
      <c r="O34" s="45" t="b">
        <v>0</v>
      </c>
    </row>
    <row r="35" spans="1:15" x14ac:dyDescent="0.45">
      <c r="B35" s="22" t="s">
        <v>48</v>
      </c>
      <c r="C35" s="30" t="b">
        <v>0</v>
      </c>
      <c r="D35" s="30" t="b">
        <v>0</v>
      </c>
      <c r="E35" s="30" t="b">
        <v>0</v>
      </c>
      <c r="F35" s="30" t="b">
        <v>0</v>
      </c>
      <c r="G35" s="30" t="b">
        <v>0</v>
      </c>
      <c r="H35" s="30" t="b">
        <v>0</v>
      </c>
      <c r="I35" s="30" t="b">
        <v>0</v>
      </c>
      <c r="J35" s="30" t="b">
        <v>0</v>
      </c>
      <c r="K35" s="30" t="b">
        <v>0</v>
      </c>
      <c r="L35" s="30" t="b">
        <v>0</v>
      </c>
      <c r="M35" s="30" t="b">
        <v>0</v>
      </c>
      <c r="N35" s="30" t="b">
        <v>0</v>
      </c>
      <c r="O35" s="45" t="b">
        <v>0</v>
      </c>
    </row>
    <row r="36" spans="1:15" x14ac:dyDescent="0.45">
      <c r="B36" s="22" t="s">
        <v>49</v>
      </c>
      <c r="C36" s="29" t="b">
        <v>0</v>
      </c>
      <c r="D36" s="29" t="b">
        <v>1</v>
      </c>
      <c r="E36" s="29" t="b">
        <v>0</v>
      </c>
      <c r="F36" s="29" t="b">
        <v>0</v>
      </c>
      <c r="G36" s="29" t="b">
        <v>0</v>
      </c>
      <c r="H36" s="29" t="b">
        <v>0</v>
      </c>
      <c r="I36" s="29" t="b">
        <v>0</v>
      </c>
      <c r="J36" s="29" t="b">
        <v>0</v>
      </c>
      <c r="K36" s="29" t="b">
        <v>0</v>
      </c>
      <c r="L36" s="29" t="b">
        <v>0</v>
      </c>
      <c r="M36" s="29" t="b">
        <v>0</v>
      </c>
      <c r="N36" s="29" t="b">
        <v>0</v>
      </c>
      <c r="O36" s="45" t="b">
        <v>0</v>
      </c>
    </row>
    <row r="37" spans="1:15" x14ac:dyDescent="0.45">
      <c r="B37" s="22" t="s">
        <v>50</v>
      </c>
      <c r="C37" s="30" t="b">
        <v>0</v>
      </c>
      <c r="D37" s="30" t="b">
        <v>1</v>
      </c>
      <c r="E37" s="30" t="b">
        <v>0</v>
      </c>
      <c r="F37" s="30" t="b">
        <v>0</v>
      </c>
      <c r="G37" s="30" t="b">
        <v>0</v>
      </c>
      <c r="H37" s="30" t="b">
        <v>0</v>
      </c>
      <c r="I37" s="30" t="b">
        <v>0</v>
      </c>
      <c r="J37" s="30" t="b">
        <v>0</v>
      </c>
      <c r="K37" s="30" t="b">
        <v>0</v>
      </c>
      <c r="L37" s="30" t="b">
        <v>0</v>
      </c>
      <c r="M37" s="30" t="b">
        <v>0</v>
      </c>
      <c r="N37" s="30" t="b">
        <v>0</v>
      </c>
      <c r="O37" s="45" t="b">
        <v>1</v>
      </c>
    </row>
    <row r="38" spans="1:15" x14ac:dyDescent="0.45">
      <c r="B38" s="22" t="s">
        <v>51</v>
      </c>
      <c r="C38" s="29" t="b">
        <v>0</v>
      </c>
      <c r="D38" s="29" t="b">
        <v>1</v>
      </c>
      <c r="E38" s="29" t="b">
        <v>0</v>
      </c>
      <c r="F38" s="29" t="b">
        <v>0</v>
      </c>
      <c r="G38" s="29" t="b">
        <v>0</v>
      </c>
      <c r="H38" s="29" t="b">
        <v>0</v>
      </c>
      <c r="I38" s="29" t="b">
        <v>0</v>
      </c>
      <c r="J38" s="29" t="b">
        <v>0</v>
      </c>
      <c r="K38" s="29" t="b">
        <v>0</v>
      </c>
      <c r="L38" s="29" t="b">
        <v>0</v>
      </c>
      <c r="M38" s="29" t="b">
        <v>0</v>
      </c>
      <c r="N38" s="29" t="b">
        <v>0</v>
      </c>
      <c r="O38" s="45" t="b">
        <v>0</v>
      </c>
    </row>
    <row r="39" spans="1:15" x14ac:dyDescent="0.45">
      <c r="B39" s="22" t="s">
        <v>75</v>
      </c>
      <c r="C39" s="30" t="b">
        <v>0</v>
      </c>
      <c r="D39" s="30" t="b">
        <v>1</v>
      </c>
      <c r="E39" s="30" t="b">
        <v>0</v>
      </c>
      <c r="F39" s="30" t="b">
        <v>0</v>
      </c>
      <c r="G39" s="30" t="b">
        <v>0</v>
      </c>
      <c r="H39" s="30" t="b">
        <v>0</v>
      </c>
      <c r="I39" s="30" t="b">
        <v>0</v>
      </c>
      <c r="J39" s="30" t="b">
        <v>0</v>
      </c>
      <c r="K39" s="30" t="b">
        <v>0</v>
      </c>
      <c r="L39" s="30" t="b">
        <v>0</v>
      </c>
      <c r="M39" s="30" t="b">
        <v>0</v>
      </c>
      <c r="N39" s="30" t="b">
        <v>0</v>
      </c>
      <c r="O39" s="45" t="b">
        <v>1</v>
      </c>
    </row>
    <row r="40" spans="1:15" x14ac:dyDescent="0.45">
      <c r="B40" s="22" t="s">
        <v>52</v>
      </c>
      <c r="C40" s="29" t="b">
        <v>0</v>
      </c>
      <c r="D40" s="29" t="b">
        <v>0</v>
      </c>
      <c r="E40" s="29" t="b">
        <v>0</v>
      </c>
      <c r="F40" s="29" t="b">
        <v>0</v>
      </c>
      <c r="G40" s="29" t="b">
        <v>0</v>
      </c>
      <c r="H40" s="29" t="b">
        <v>0</v>
      </c>
      <c r="I40" s="29" t="b">
        <v>0</v>
      </c>
      <c r="J40" s="29" t="b">
        <v>0</v>
      </c>
      <c r="K40" s="29" t="b">
        <v>0</v>
      </c>
      <c r="L40" s="29" t="b">
        <v>0</v>
      </c>
      <c r="M40" s="29" t="b">
        <v>0</v>
      </c>
      <c r="N40" s="29" t="b">
        <v>0</v>
      </c>
      <c r="O40" s="45" t="b">
        <v>0</v>
      </c>
    </row>
    <row r="41" spans="1:15" x14ac:dyDescent="0.45">
      <c r="B41" s="22" t="s">
        <v>53</v>
      </c>
      <c r="C41" s="30" t="b">
        <v>0</v>
      </c>
      <c r="D41" s="30" t="b">
        <v>1</v>
      </c>
      <c r="E41" s="30" t="b">
        <v>0</v>
      </c>
      <c r="F41" s="30" t="b">
        <v>0</v>
      </c>
      <c r="G41" s="30" t="b">
        <v>0</v>
      </c>
      <c r="H41" s="30" t="b">
        <v>0</v>
      </c>
      <c r="I41" s="30" t="b">
        <v>0</v>
      </c>
      <c r="J41" s="30" t="b">
        <v>0</v>
      </c>
      <c r="K41" s="30" t="b">
        <v>0</v>
      </c>
      <c r="L41" s="30" t="b">
        <v>0</v>
      </c>
      <c r="M41" s="30" t="b">
        <v>0</v>
      </c>
      <c r="N41" s="30" t="b">
        <v>0</v>
      </c>
      <c r="O41" s="45" t="b">
        <v>1</v>
      </c>
    </row>
    <row r="42" spans="1:15" x14ac:dyDescent="0.45">
      <c r="B42" s="22" t="s">
        <v>54</v>
      </c>
      <c r="C42" s="29" t="b">
        <v>0</v>
      </c>
      <c r="D42" s="29" t="b">
        <v>1</v>
      </c>
      <c r="E42" s="29" t="b">
        <v>0</v>
      </c>
      <c r="F42" s="29" t="b">
        <v>0</v>
      </c>
      <c r="G42" s="29" t="b">
        <v>0</v>
      </c>
      <c r="H42" s="29" t="b">
        <v>0</v>
      </c>
      <c r="I42" s="29" t="b">
        <v>0</v>
      </c>
      <c r="J42" s="29" t="b">
        <v>0</v>
      </c>
      <c r="K42" s="29" t="b">
        <v>0</v>
      </c>
      <c r="L42" s="29" t="b">
        <v>0</v>
      </c>
      <c r="M42" s="29" t="b">
        <v>0</v>
      </c>
      <c r="N42" s="29" t="b">
        <v>0</v>
      </c>
      <c r="O42" s="45" t="b">
        <v>1</v>
      </c>
    </row>
    <row r="43" spans="1:15" x14ac:dyDescent="0.45">
      <c r="B43" s="22" t="s">
        <v>69</v>
      </c>
      <c r="C43" s="30" t="b">
        <v>0</v>
      </c>
      <c r="D43" s="30" t="b">
        <v>1</v>
      </c>
      <c r="E43" s="30" t="b">
        <v>0</v>
      </c>
      <c r="F43" s="30" t="b">
        <v>0</v>
      </c>
      <c r="G43" s="30" t="b">
        <v>0</v>
      </c>
      <c r="H43" s="30" t="b">
        <v>0</v>
      </c>
      <c r="I43" s="30" t="b">
        <v>0</v>
      </c>
      <c r="J43" s="30" t="b">
        <v>0</v>
      </c>
      <c r="K43" s="30" t="b">
        <v>0</v>
      </c>
      <c r="L43" s="30" t="b">
        <v>0</v>
      </c>
      <c r="M43" s="30" t="b">
        <v>0</v>
      </c>
      <c r="N43" s="30" t="b">
        <v>0</v>
      </c>
      <c r="O43" s="45" t="b">
        <v>1</v>
      </c>
    </row>
    <row r="44" spans="1:15" x14ac:dyDescent="0.45">
      <c r="A44" s="37"/>
      <c r="B44" s="22" t="s">
        <v>70</v>
      </c>
      <c r="C44" s="29" t="b">
        <v>0</v>
      </c>
      <c r="D44" s="29" t="b">
        <v>1</v>
      </c>
      <c r="E44" s="29" t="b">
        <v>0</v>
      </c>
      <c r="F44" s="29" t="b">
        <v>0</v>
      </c>
      <c r="G44" s="29" t="b">
        <v>0</v>
      </c>
      <c r="H44" s="29" t="b">
        <v>0</v>
      </c>
      <c r="I44" s="29" t="b">
        <v>0</v>
      </c>
      <c r="J44" s="29" t="b">
        <v>0</v>
      </c>
      <c r="K44" s="29" t="b">
        <v>0</v>
      </c>
      <c r="L44" s="29" t="b">
        <v>0</v>
      </c>
      <c r="M44" s="29" t="b">
        <v>0</v>
      </c>
      <c r="N44" s="29" t="b">
        <v>0</v>
      </c>
      <c r="O44" s="45" t="b">
        <v>1</v>
      </c>
    </row>
    <row r="45" spans="1:15" x14ac:dyDescent="0.45">
      <c r="B45" s="22" t="s">
        <v>71</v>
      </c>
      <c r="C45" s="30"/>
      <c r="D45" s="30" t="b">
        <v>1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45" t="b">
        <v>1</v>
      </c>
    </row>
    <row r="46" spans="1:15" x14ac:dyDescent="0.45">
      <c r="A46" s="37"/>
      <c r="B46" s="22" t="s">
        <v>72</v>
      </c>
      <c r="C46" s="29" t="b">
        <v>0</v>
      </c>
      <c r="D46" s="29" t="b">
        <v>1</v>
      </c>
      <c r="E46" s="29" t="b">
        <v>0</v>
      </c>
      <c r="F46" s="29" t="b">
        <v>0</v>
      </c>
      <c r="G46" s="29" t="b">
        <v>0</v>
      </c>
      <c r="H46" s="29" t="b">
        <v>0</v>
      </c>
      <c r="I46" s="29" t="b">
        <v>0</v>
      </c>
      <c r="J46" s="29" t="b">
        <v>0</v>
      </c>
      <c r="K46" s="29" t="b">
        <v>0</v>
      </c>
      <c r="L46" s="29" t="b">
        <v>0</v>
      </c>
      <c r="M46" s="29" t="b">
        <v>0</v>
      </c>
      <c r="N46" s="29" t="b">
        <v>0</v>
      </c>
      <c r="O46" s="45" t="b">
        <v>1</v>
      </c>
    </row>
    <row r="47" spans="1:15" x14ac:dyDescent="0.45">
      <c r="B47" s="22" t="s">
        <v>76</v>
      </c>
      <c r="C47" s="30"/>
      <c r="D47" s="30" t="b">
        <v>1</v>
      </c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45" t="b">
        <v>1</v>
      </c>
    </row>
    <row r="48" spans="1:15" x14ac:dyDescent="0.45">
      <c r="A48" s="37"/>
      <c r="B48" s="22"/>
      <c r="C48" s="29" t="b">
        <v>0</v>
      </c>
      <c r="D48" s="29" t="b">
        <v>0</v>
      </c>
      <c r="E48" s="29" t="b">
        <v>0</v>
      </c>
      <c r="F48" s="29" t="b">
        <v>0</v>
      </c>
      <c r="G48" s="29" t="b">
        <v>0</v>
      </c>
      <c r="H48" s="29" t="b">
        <v>0</v>
      </c>
      <c r="I48" s="29" t="b">
        <v>0</v>
      </c>
      <c r="J48" s="29" t="b">
        <v>0</v>
      </c>
      <c r="K48" s="29" t="b">
        <v>0</v>
      </c>
      <c r="L48" s="29" t="b">
        <v>0</v>
      </c>
      <c r="M48" s="29" t="b">
        <v>0</v>
      </c>
      <c r="N48" s="29" t="b">
        <v>0</v>
      </c>
      <c r="O48" s="45" t="b">
        <v>0</v>
      </c>
    </row>
    <row r="49" spans="2:16" x14ac:dyDescent="0.45">
      <c r="B49" s="22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45" t="b">
        <v>0</v>
      </c>
    </row>
    <row r="50" spans="2:16" x14ac:dyDescent="0.45">
      <c r="B50" s="22"/>
      <c r="C50" s="29" t="b">
        <v>0</v>
      </c>
      <c r="D50" s="29" t="b">
        <v>0</v>
      </c>
      <c r="E50" s="29" t="b">
        <v>0</v>
      </c>
      <c r="F50" s="29" t="b">
        <v>0</v>
      </c>
      <c r="G50" s="29" t="b">
        <v>0</v>
      </c>
      <c r="H50" s="29" t="b">
        <v>0</v>
      </c>
      <c r="I50" s="29" t="b">
        <v>0</v>
      </c>
      <c r="J50" s="29" t="b">
        <v>0</v>
      </c>
      <c r="K50" s="29" t="b">
        <v>0</v>
      </c>
      <c r="L50" s="29" t="b">
        <v>0</v>
      </c>
      <c r="M50" s="29" t="b">
        <v>0</v>
      </c>
      <c r="N50" s="29" t="b">
        <v>0</v>
      </c>
      <c r="O50" s="45" t="b">
        <v>0</v>
      </c>
    </row>
    <row r="51" spans="2:16" s="37" customFormat="1" x14ac:dyDescent="0.45">
      <c r="B51" s="22"/>
      <c r="C51" s="30" t="b">
        <v>0</v>
      </c>
      <c r="D51" s="30" t="b">
        <v>0</v>
      </c>
      <c r="E51" s="30" t="b">
        <v>0</v>
      </c>
      <c r="F51" s="30" t="b">
        <v>0</v>
      </c>
      <c r="G51" s="30" t="b">
        <v>0</v>
      </c>
      <c r="H51" s="30" t="b">
        <v>0</v>
      </c>
      <c r="I51" s="30" t="b">
        <v>0</v>
      </c>
      <c r="J51" s="30" t="b">
        <v>0</v>
      </c>
      <c r="K51" s="30" t="b">
        <v>0</v>
      </c>
      <c r="L51" s="30" t="b">
        <v>0</v>
      </c>
      <c r="M51" s="30" t="b">
        <v>0</v>
      </c>
      <c r="N51" s="30" t="b">
        <v>0</v>
      </c>
      <c r="O51" s="45" t="b">
        <v>0</v>
      </c>
    </row>
    <row r="52" spans="2:16" s="37" customFormat="1" x14ac:dyDescent="0.45">
      <c r="B52" s="23" t="s">
        <v>9</v>
      </c>
      <c r="C52" s="22">
        <f>COUNTIF(C14:C51,TRUE)</f>
        <v>10</v>
      </c>
      <c r="D52" s="22">
        <f>COUNTIF(D14:D51,TRUE)</f>
        <v>20</v>
      </c>
      <c r="E52" s="22">
        <f>COUNTIF(E14:E51,TRUE)</f>
        <v>0</v>
      </c>
      <c r="F52" s="22"/>
      <c r="G52" s="22">
        <f t="shared" ref="G52:O52" si="0">COUNTIF(G14:G51,TRUE)</f>
        <v>0</v>
      </c>
      <c r="H52" s="22">
        <f t="shared" si="0"/>
        <v>0</v>
      </c>
      <c r="I52" s="22">
        <f t="shared" si="0"/>
        <v>0</v>
      </c>
      <c r="J52" s="22">
        <f t="shared" si="0"/>
        <v>0</v>
      </c>
      <c r="K52" s="22">
        <f t="shared" si="0"/>
        <v>0</v>
      </c>
      <c r="L52" s="22">
        <f t="shared" si="0"/>
        <v>0</v>
      </c>
      <c r="M52" s="22">
        <f t="shared" si="0"/>
        <v>0</v>
      </c>
      <c r="N52" s="22">
        <f t="shared" si="0"/>
        <v>0</v>
      </c>
      <c r="O52" s="37">
        <f t="shared" si="0"/>
        <v>18</v>
      </c>
      <c r="P52" s="37" t="s">
        <v>73</v>
      </c>
    </row>
    <row r="53" spans="2:16" x14ac:dyDescent="0.45">
      <c r="B53" s="24" t="s">
        <v>30</v>
      </c>
      <c r="C53" s="27">
        <f>(C52+2)*3</f>
        <v>36</v>
      </c>
      <c r="D53" s="43">
        <f>D52*3-3</f>
        <v>57</v>
      </c>
      <c r="E53" s="22">
        <f>E52*3</f>
        <v>0</v>
      </c>
      <c r="F53" s="22"/>
      <c r="G53" s="22">
        <f t="shared" ref="G53:N53" si="1">G52*3</f>
        <v>0</v>
      </c>
      <c r="H53" s="22">
        <f t="shared" si="1"/>
        <v>0</v>
      </c>
      <c r="I53" s="22">
        <f t="shared" si="1"/>
        <v>0</v>
      </c>
      <c r="J53" s="22">
        <f t="shared" si="1"/>
        <v>0</v>
      </c>
      <c r="K53" s="22">
        <f t="shared" si="1"/>
        <v>0</v>
      </c>
      <c r="L53" s="22">
        <f t="shared" si="1"/>
        <v>0</v>
      </c>
      <c r="M53" s="22">
        <f t="shared" si="1"/>
        <v>0</v>
      </c>
      <c r="N53" s="22">
        <f t="shared" si="1"/>
        <v>0</v>
      </c>
    </row>
    <row r="54" spans="2:16" x14ac:dyDescent="0.45">
      <c r="B54" s="25" t="s">
        <v>31</v>
      </c>
      <c r="C54" s="26">
        <f>C53-C59</f>
        <v>18.810000000000002</v>
      </c>
      <c r="D54" s="26">
        <f>D53-D59</f>
        <v>28.35</v>
      </c>
      <c r="E54" s="26">
        <f>E53-E59</f>
        <v>0</v>
      </c>
      <c r="F54" s="26"/>
      <c r="G54" s="26">
        <f t="shared" ref="G54:N54" si="2">G53-G59</f>
        <v>0</v>
      </c>
      <c r="H54" s="26">
        <f t="shared" si="2"/>
        <v>0</v>
      </c>
      <c r="I54" s="26">
        <f t="shared" si="2"/>
        <v>0</v>
      </c>
      <c r="J54" s="26">
        <f t="shared" si="2"/>
        <v>0</v>
      </c>
      <c r="K54" s="26">
        <f t="shared" si="2"/>
        <v>0</v>
      </c>
      <c r="L54" s="26">
        <f t="shared" si="2"/>
        <v>0</v>
      </c>
      <c r="M54" s="26">
        <f t="shared" si="2"/>
        <v>0</v>
      </c>
      <c r="N54" s="26">
        <f t="shared" si="2"/>
        <v>0</v>
      </c>
    </row>
    <row r="56" spans="2:16" x14ac:dyDescent="0.45">
      <c r="C56" s="15" t="s">
        <v>44</v>
      </c>
      <c r="D56" s="15" t="s">
        <v>32</v>
      </c>
      <c r="E56" s="15" t="s">
        <v>32</v>
      </c>
      <c r="F56" s="15"/>
      <c r="G56" s="15" t="s">
        <v>32</v>
      </c>
      <c r="H56" s="15" t="s">
        <v>32</v>
      </c>
      <c r="I56" s="15" t="s">
        <v>32</v>
      </c>
      <c r="J56" s="15" t="s">
        <v>32</v>
      </c>
      <c r="K56" s="15" t="s">
        <v>32</v>
      </c>
      <c r="L56" s="15" t="s">
        <v>32</v>
      </c>
      <c r="M56" s="15" t="s">
        <v>32</v>
      </c>
      <c r="N56" s="15" t="s">
        <v>32</v>
      </c>
    </row>
    <row r="57" spans="2:16" x14ac:dyDescent="0.45">
      <c r="C57" s="22">
        <v>12</v>
      </c>
      <c r="D57" s="22">
        <f>D52/12</f>
        <v>1.6666666666666667</v>
      </c>
      <c r="E57" s="22">
        <f>E52/5</f>
        <v>0</v>
      </c>
      <c r="F57" s="22"/>
      <c r="G57" s="22">
        <f t="shared" ref="G57:N57" si="3">G52/5</f>
        <v>0</v>
      </c>
      <c r="H57" s="22">
        <f t="shared" si="3"/>
        <v>0</v>
      </c>
      <c r="I57" s="22">
        <f t="shared" si="3"/>
        <v>0</v>
      </c>
      <c r="J57" s="22">
        <f t="shared" si="3"/>
        <v>0</v>
      </c>
      <c r="K57" s="22">
        <f t="shared" si="3"/>
        <v>0</v>
      </c>
      <c r="L57" s="22">
        <f t="shared" si="3"/>
        <v>0</v>
      </c>
      <c r="M57" s="22">
        <f t="shared" si="3"/>
        <v>0</v>
      </c>
      <c r="N57" s="22">
        <f t="shared" si="3"/>
        <v>0</v>
      </c>
    </row>
    <row r="58" spans="2:16" x14ac:dyDescent="0.45">
      <c r="C58" s="15" t="s">
        <v>9</v>
      </c>
      <c r="D58" s="15" t="s">
        <v>9</v>
      </c>
      <c r="E58" s="15" t="s">
        <v>9</v>
      </c>
      <c r="F58" s="15"/>
      <c r="G58" s="15" t="s">
        <v>9</v>
      </c>
      <c r="H58" s="15" t="s">
        <v>9</v>
      </c>
      <c r="I58" s="15" t="s">
        <v>9</v>
      </c>
      <c r="J58" s="15" t="s">
        <v>9</v>
      </c>
      <c r="K58" s="15" t="s">
        <v>9</v>
      </c>
      <c r="L58" s="15" t="s">
        <v>9</v>
      </c>
      <c r="M58" s="15" t="s">
        <v>9</v>
      </c>
      <c r="N58" s="15" t="s">
        <v>9</v>
      </c>
    </row>
    <row r="59" spans="2:16" x14ac:dyDescent="0.45">
      <c r="C59" s="27">
        <f>ROUNDUP((C52+2)/I3,0)*$H$3</f>
        <v>17.189999999999998</v>
      </c>
      <c r="D59" s="43">
        <f>D57*$H$3</f>
        <v>28.65</v>
      </c>
      <c r="E59" s="27">
        <f>E57*$G$3</f>
        <v>0</v>
      </c>
      <c r="F59" s="27"/>
      <c r="G59" s="27">
        <f t="shared" ref="G59:N59" si="4">G57*$G$3</f>
        <v>0</v>
      </c>
      <c r="H59" s="27">
        <f t="shared" si="4"/>
        <v>0</v>
      </c>
      <c r="I59" s="27">
        <f t="shared" si="4"/>
        <v>0</v>
      </c>
      <c r="J59" s="27">
        <f t="shared" si="4"/>
        <v>0</v>
      </c>
      <c r="K59" s="27">
        <f t="shared" si="4"/>
        <v>0</v>
      </c>
      <c r="L59" s="27">
        <f t="shared" si="4"/>
        <v>0</v>
      </c>
      <c r="M59" s="27">
        <f t="shared" si="4"/>
        <v>0</v>
      </c>
      <c r="N59" s="27">
        <f t="shared" si="4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f92934-882a-44e7-a6ca-64e36033cb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CFECC5A8324D4DBA638CE67BA5ACC8" ma:contentTypeVersion="9" ma:contentTypeDescription="Create a new document." ma:contentTypeScope="" ma:versionID="1fd71184967259260ffe2fc83a10669f">
  <xsd:schema xmlns:xsd="http://www.w3.org/2001/XMLSchema" xmlns:xs="http://www.w3.org/2001/XMLSchema" xmlns:p="http://schemas.microsoft.com/office/2006/metadata/properties" xmlns:ns3="73f92934-882a-44e7-a6ca-64e36033cb0d" xmlns:ns4="8943f7ff-853f-45a6-859b-c27ff04f3b5d" targetNamespace="http://schemas.microsoft.com/office/2006/metadata/properties" ma:root="true" ma:fieldsID="482d935c24c800925f119c161b2704b3" ns3:_="" ns4:_="">
    <xsd:import namespace="73f92934-882a-44e7-a6ca-64e36033cb0d"/>
    <xsd:import namespace="8943f7ff-853f-45a6-859b-c27ff04f3b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92934-882a-44e7-a6ca-64e36033cb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3f7ff-853f-45a6-859b-c27ff04f3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8BEC73-A028-4913-A338-BA7260E031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8D51E0-3F24-483E-BFC4-CCE7B6128474}">
  <ds:schemaRefs>
    <ds:schemaRef ds:uri="http://www.w3.org/XML/1998/namespace"/>
    <ds:schemaRef ds:uri="http://purl.org/dc/dcmitype/"/>
    <ds:schemaRef ds:uri="http://schemas.microsoft.com/office/2006/metadata/properties"/>
    <ds:schemaRef ds:uri="8943f7ff-853f-45a6-859b-c27ff04f3b5d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3f92934-882a-44e7-a6ca-64e36033cb0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826E049-FC2D-44CE-867B-D45D525F611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73f92934-882a-44e7-a6ca-64e36033cb0d"/>
    <ds:schemaRef ds:uri="8943f7ff-853f-45a6-859b-c27ff04f3b5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Galletas</vt:lpstr>
      <vt:lpstr>Bizcocho_limon</vt:lpstr>
      <vt:lpstr>Tiramisú</vt:lpstr>
      <vt:lpstr>Tiramisú_vasos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Marlen Jiménez Castillo</dc:creator>
  <cp:lastModifiedBy>Ivana Marlen Jiménez Castillo</cp:lastModifiedBy>
  <dcterms:created xsi:type="dcterms:W3CDTF">2026-04-17T22:43:00Z</dcterms:created>
  <dcterms:modified xsi:type="dcterms:W3CDTF">2026-10-06T11:08:17Z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0x0101000FCFECC5A8324D4DBA638CE67BA5ACC8</vt:lpwstr>
  </property>
</Properties>
</file>